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defaultThemeVersion="166925"/>
  <mc:AlternateContent xmlns:mc="http://schemas.openxmlformats.org/markup-compatibility/2006">
    <mc:Choice Requires="x15">
      <x15ac:absPath xmlns:x15ac="http://schemas.microsoft.com/office/spreadsheetml/2010/11/ac" url="C:\Documentos\SENA\DOCUMENTOS PN\"/>
    </mc:Choice>
  </mc:AlternateContent>
  <xr:revisionPtr revIDLastSave="0" documentId="13_ncr:1_{37D61D47-5DBC-4D2A-BB56-BB45395B21C9}" xr6:coauthVersionLast="47" xr6:coauthVersionMax="47" xr10:uidLastSave="{00000000-0000-0000-0000-000000000000}"/>
  <bookViews>
    <workbookView xWindow="-120" yWindow="-120" windowWidth="20730" windowHeight="11040" firstSheet="1" activeTab="1" xr2:uid="{99D91F88-D4BF-4185-8810-5F0EC51DDA1B}"/>
  </bookViews>
  <sheets>
    <sheet name="Datos de la Unidad Productiva" sheetId="4" r:id="rId1"/>
    <sheet name="Diagnóstico" sheetId="1" r:id="rId2"/>
    <sheet name="Línea Base" sheetId="5" r:id="rId3"/>
    <sheet name="Gráfica Consolidado General" sheetId="3" r:id="rId4"/>
    <sheet name="Graficas por área" sheetId="2" r:id="rId5"/>
  </sheets>
  <definedNames>
    <definedName name="_Hlk99456938" localSheetId="2">'Línea Base'!$A$9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2" i="5" l="1"/>
  <c r="H13" i="5"/>
  <c r="H11" i="5"/>
  <c r="B21" i="1"/>
  <c r="B12" i="3"/>
  <c r="D48" i="1"/>
  <c r="D49" i="1"/>
  <c r="D50" i="1"/>
  <c r="D51" i="1"/>
  <c r="D52" i="1"/>
  <c r="D53" i="1"/>
  <c r="D54" i="1"/>
  <c r="D55" i="1"/>
  <c r="D56" i="1"/>
  <c r="D47" i="1"/>
  <c r="D36" i="1"/>
  <c r="D37" i="1"/>
  <c r="D38" i="1"/>
  <c r="D39" i="1"/>
  <c r="D40" i="1"/>
  <c r="D41" i="1"/>
  <c r="D42" i="1"/>
  <c r="D43" i="1"/>
  <c r="D44" i="1"/>
  <c r="D35" i="1"/>
  <c r="D24" i="1"/>
  <c r="D25" i="1"/>
  <c r="D26" i="1"/>
  <c r="D27" i="1"/>
  <c r="D28" i="1"/>
  <c r="D29" i="1"/>
  <c r="D30" i="1"/>
  <c r="D31" i="1"/>
  <c r="D32" i="1"/>
  <c r="D23" i="1"/>
  <c r="D12" i="1"/>
  <c r="D13" i="1"/>
  <c r="D14" i="1"/>
  <c r="D15" i="1"/>
  <c r="D16" i="1"/>
  <c r="D17" i="1"/>
  <c r="D18" i="1"/>
  <c r="D19" i="1"/>
  <c r="D20" i="1"/>
  <c r="D11" i="1"/>
  <c r="C49" i="1"/>
  <c r="B57" i="1"/>
  <c r="B45" i="1"/>
  <c r="B33" i="1"/>
  <c r="C12" i="1"/>
  <c r="C13" i="1"/>
  <c r="C14" i="1"/>
  <c r="C15" i="1"/>
  <c r="C16" i="1"/>
  <c r="C17" i="1"/>
  <c r="C18" i="1"/>
  <c r="C19" i="1"/>
  <c r="C20" i="1"/>
  <c r="C23" i="1"/>
  <c r="C24" i="1"/>
  <c r="C25" i="1"/>
  <c r="C26" i="1"/>
  <c r="C27" i="1"/>
  <c r="C28" i="1"/>
  <c r="C29" i="1"/>
  <c r="C30" i="1"/>
  <c r="C31" i="1"/>
  <c r="C32" i="1"/>
  <c r="C35" i="1"/>
  <c r="C36" i="1"/>
  <c r="C37" i="1"/>
  <c r="C38" i="1"/>
  <c r="C39" i="1"/>
  <c r="C40" i="1"/>
  <c r="C41" i="1"/>
  <c r="C42" i="1"/>
  <c r="C43" i="1"/>
  <c r="C44" i="1"/>
  <c r="C47" i="1"/>
  <c r="C48" i="1"/>
  <c r="C50" i="1"/>
  <c r="C51" i="1"/>
  <c r="C52" i="1"/>
  <c r="C53" i="1"/>
  <c r="C54" i="1"/>
  <c r="C55" i="1"/>
  <c r="C56" i="1"/>
  <c r="C11" i="1"/>
  <c r="D45" i="1" l="1"/>
  <c r="C10" i="3" s="1"/>
  <c r="D10" i="3" s="1"/>
  <c r="D33" i="1"/>
  <c r="C9" i="3" s="1"/>
  <c r="D9" i="3" s="1"/>
  <c r="D57" i="1"/>
  <c r="C11" i="3" s="1"/>
  <c r="D11" i="3" s="1"/>
  <c r="D21" i="1"/>
  <c r="C8" i="3" s="1"/>
  <c r="D8" i="3" s="1"/>
  <c r="C13" i="3" l="1"/>
  <c r="D13" i="3" s="1"/>
</calcChain>
</file>

<file path=xl/sharedStrings.xml><?xml version="1.0" encoding="utf-8"?>
<sst xmlns="http://schemas.openxmlformats.org/spreadsheetml/2006/main" count="146" uniqueCount="123">
  <si>
    <r>
      <t>2.</t>
    </r>
    <r>
      <rPr>
        <sz val="7"/>
        <color theme="1"/>
        <rFont val="Times New Roman"/>
        <family val="1"/>
      </rPr>
      <t xml:space="preserve">       </t>
    </r>
    <r>
      <rPr>
        <sz val="11"/>
        <color theme="1"/>
        <rFont val="Calibri"/>
        <family val="2"/>
      </rPr>
      <t>¿Es suficiente el número de trabajadores para el cumplimiento de las actividades diarias de la empresa?</t>
    </r>
  </si>
  <si>
    <r>
      <t>3.</t>
    </r>
    <r>
      <rPr>
        <sz val="7"/>
        <color theme="1"/>
        <rFont val="Times New Roman"/>
        <family val="1"/>
      </rPr>
      <t xml:space="preserve">       </t>
    </r>
    <r>
      <rPr>
        <sz val="11"/>
        <color theme="1"/>
        <rFont val="Calibri"/>
        <family val="2"/>
      </rPr>
      <t>¿Cuenta con reemplazos en los momentos de ausencia prolongada de algún trabajador?</t>
    </r>
  </si>
  <si>
    <r>
      <t>4.</t>
    </r>
    <r>
      <rPr>
        <sz val="7"/>
        <color theme="1"/>
        <rFont val="Times New Roman"/>
        <family val="1"/>
      </rPr>
      <t xml:space="preserve">       </t>
    </r>
    <r>
      <rPr>
        <sz val="11"/>
        <color theme="1"/>
        <rFont val="Calibri"/>
        <family val="2"/>
      </rPr>
      <t>¿La Unidad Productiva se encuentra bancarizada para la gestión de ventas?</t>
    </r>
  </si>
  <si>
    <r>
      <t>5.</t>
    </r>
    <r>
      <rPr>
        <sz val="7"/>
        <color theme="1"/>
        <rFont val="Times New Roman"/>
        <family val="1"/>
      </rPr>
      <t xml:space="preserve">       </t>
    </r>
    <r>
      <rPr>
        <sz val="11"/>
        <color theme="1"/>
        <rFont val="Calibri"/>
        <family val="2"/>
      </rPr>
      <t>¿El emprendedor cuenta con la asignación de salario?</t>
    </r>
  </si>
  <si>
    <r>
      <t>6.</t>
    </r>
    <r>
      <rPr>
        <sz val="7"/>
        <color theme="1"/>
        <rFont val="Times New Roman"/>
        <family val="1"/>
      </rPr>
      <t xml:space="preserve">       </t>
    </r>
    <r>
      <rPr>
        <sz val="11"/>
        <color theme="1"/>
        <rFont val="Calibri"/>
        <family val="2"/>
      </rPr>
      <t>¿El emprendedor y sus empleados (si aplica) se encuentran afiliados a un sistema de seguridad social contributivo?</t>
    </r>
  </si>
  <si>
    <r>
      <t>7.</t>
    </r>
    <r>
      <rPr>
        <sz val="7"/>
        <color theme="1"/>
        <rFont val="Times New Roman"/>
        <family val="1"/>
      </rPr>
      <t xml:space="preserve">       </t>
    </r>
    <r>
      <rPr>
        <sz val="11"/>
        <color theme="1"/>
        <rFont val="Calibri"/>
        <family val="2"/>
      </rPr>
      <t>¿Tiene una estructura organizacional definida e implementada? (Organigrama, manual de funciones y definición de perfiles)</t>
    </r>
  </si>
  <si>
    <r>
      <t>8.</t>
    </r>
    <r>
      <rPr>
        <sz val="7"/>
        <color theme="1"/>
        <rFont val="Times New Roman"/>
        <family val="1"/>
      </rPr>
      <t xml:space="preserve">       </t>
    </r>
    <r>
      <rPr>
        <sz val="11"/>
        <color theme="1"/>
        <rFont val="Calibri"/>
        <family val="2"/>
      </rPr>
      <t>Seguridad y Salud en el trabajo: ¿Identifica y utiliza apropiadamente los elementos de protección personal y la Unidad Productiva está señalizada? </t>
    </r>
  </si>
  <si>
    <r>
      <t>9.</t>
    </r>
    <r>
      <rPr>
        <sz val="7"/>
        <color theme="1"/>
        <rFont val="Times New Roman"/>
        <family val="1"/>
      </rPr>
      <t xml:space="preserve">       </t>
    </r>
    <r>
      <rPr>
        <sz val="11"/>
        <color theme="1"/>
        <rFont val="Calibri"/>
        <family val="2"/>
      </rPr>
      <t>¿Su unidad productiva ha implmentado herramientas de innovación para mejorar competitivamente?</t>
    </r>
  </si>
  <si>
    <r>
      <t>10.</t>
    </r>
    <r>
      <rPr>
        <sz val="7"/>
        <color theme="1"/>
        <rFont val="Times New Roman"/>
        <family val="1"/>
      </rPr>
      <t xml:space="preserve">   </t>
    </r>
    <r>
      <rPr>
        <sz val="11"/>
        <color theme="1"/>
        <rFont val="Calibri"/>
        <family val="2"/>
      </rPr>
      <t xml:space="preserve">¿Conoce los permisos y licencias que requiere el funcionamiento de su unidad productiva, además, está comprometida con el cuidado y preservación del medio ambiente? </t>
    </r>
  </si>
  <si>
    <t>INFORMACIÓN LEGAL Y ADMINISTRATIVA</t>
  </si>
  <si>
    <t>INFORMACIÓN COMERCIAL</t>
  </si>
  <si>
    <r>
      <t>1.</t>
    </r>
    <r>
      <rPr>
        <sz val="7"/>
        <color theme="1"/>
        <rFont val="Times New Roman"/>
        <family val="1"/>
      </rPr>
      <t xml:space="preserve">       </t>
    </r>
    <r>
      <rPr>
        <sz val="11"/>
        <color theme="1"/>
        <rFont val="Calibri"/>
        <family val="2"/>
      </rPr>
      <t>¿Qué productos o servicios ofrece la unidad productiva al mercado? (Todos)</t>
    </r>
  </si>
  <si>
    <r>
      <t>2.</t>
    </r>
    <r>
      <rPr>
        <sz val="7"/>
        <color theme="1"/>
        <rFont val="Times New Roman"/>
        <family val="1"/>
      </rPr>
      <t xml:space="preserve">       </t>
    </r>
    <r>
      <rPr>
        <sz val="11"/>
        <color theme="1"/>
        <rFont val="Calibri"/>
        <family val="2"/>
      </rPr>
      <t>¿Conoce la participación de cada producto / servicio en el total de ventas de la empresa?</t>
    </r>
  </si>
  <si>
    <r>
      <t>3.</t>
    </r>
    <r>
      <rPr>
        <sz val="7"/>
        <color theme="1"/>
        <rFont val="Times New Roman"/>
        <family val="1"/>
      </rPr>
      <t xml:space="preserve">       </t>
    </r>
    <r>
      <rPr>
        <sz val="11"/>
        <color theme="1"/>
        <rFont val="Calibri"/>
        <family val="2"/>
      </rPr>
      <t>¿En qué se fundamenta para hacer cambios en los productos o servicios?</t>
    </r>
  </si>
  <si>
    <r>
      <t>4.</t>
    </r>
    <r>
      <rPr>
        <sz val="7"/>
        <color theme="1"/>
        <rFont val="Times New Roman"/>
        <family val="1"/>
      </rPr>
      <t xml:space="preserve">       </t>
    </r>
    <r>
      <rPr>
        <sz val="11"/>
        <color theme="1"/>
        <rFont val="Calibri"/>
        <family val="2"/>
      </rPr>
      <t>¿Cómo define el componente diferenciador de su producto o servicio frente a la competencia?</t>
    </r>
  </si>
  <si>
    <r>
      <t>5.</t>
    </r>
    <r>
      <rPr>
        <sz val="7"/>
        <color theme="1"/>
        <rFont val="Times New Roman"/>
        <family val="1"/>
      </rPr>
      <t xml:space="preserve">       </t>
    </r>
    <r>
      <rPr>
        <sz val="11"/>
        <color theme="1"/>
        <rFont val="Calibri"/>
        <family val="2"/>
      </rPr>
      <t>¿Tiene identificado y caracterizado a su cliente objetivo y potencial?</t>
    </r>
  </si>
  <si>
    <r>
      <t>6.</t>
    </r>
    <r>
      <rPr>
        <sz val="7"/>
        <color theme="1"/>
        <rFont val="Times New Roman"/>
        <family val="1"/>
      </rPr>
      <t xml:space="preserve">       </t>
    </r>
    <r>
      <rPr>
        <sz val="11"/>
        <color theme="1"/>
        <rFont val="Calibri"/>
        <family val="2"/>
      </rPr>
      <t>¿Investiga tendencias del sector y de su producto o servicio a nivel nacional e internacional?</t>
    </r>
  </si>
  <si>
    <r>
      <t>7.</t>
    </r>
    <r>
      <rPr>
        <sz val="7"/>
        <color theme="1"/>
        <rFont val="Times New Roman"/>
        <family val="1"/>
      </rPr>
      <t xml:space="preserve">       </t>
    </r>
    <r>
      <rPr>
        <sz val="11"/>
        <color theme="1"/>
        <rFont val="Calibri"/>
        <family val="2"/>
      </rPr>
      <t>¿Su unidad productiva tiene en cuenta en sus procesos las características / análisis de la competencia? (Precio, calidad, fortalezas, debilidades)</t>
    </r>
  </si>
  <si>
    <r>
      <t>8.</t>
    </r>
    <r>
      <rPr>
        <sz val="7"/>
        <color theme="1"/>
        <rFont val="Times New Roman"/>
        <family val="1"/>
      </rPr>
      <t xml:space="preserve">       </t>
    </r>
    <r>
      <rPr>
        <sz val="11"/>
        <color theme="1"/>
        <rFont val="Calibri"/>
        <family val="2"/>
      </rPr>
      <t>¿Tiene meta en ventas mensuales, hace seguimiento a su cumplimiento?</t>
    </r>
  </si>
  <si>
    <r>
      <t>9.</t>
    </r>
    <r>
      <rPr>
        <sz val="7"/>
        <color theme="1"/>
        <rFont val="Times New Roman"/>
        <family val="1"/>
      </rPr>
      <t xml:space="preserve">       </t>
    </r>
    <r>
      <rPr>
        <sz val="11"/>
        <color theme="1"/>
        <rFont val="Calibri"/>
        <family val="2"/>
      </rPr>
      <t>¿Cuenta con un catálogo o portafolio de productos / servicios?</t>
    </r>
  </si>
  <si>
    <r>
      <t>10.</t>
    </r>
    <r>
      <rPr>
        <sz val="7"/>
        <color theme="1"/>
        <rFont val="Times New Roman"/>
        <family val="1"/>
      </rPr>
      <t xml:space="preserve">   </t>
    </r>
    <r>
      <rPr>
        <sz val="11"/>
        <color theme="1"/>
        <rFont val="Calibri"/>
        <family val="2"/>
      </rPr>
      <t>¿Cuenta con un plan de fidelización para los clientes?</t>
    </r>
  </si>
  <si>
    <t>INFORMACIÓN TÉCNICA - OPERATIVA</t>
  </si>
  <si>
    <r>
      <t>1.</t>
    </r>
    <r>
      <rPr>
        <sz val="7"/>
        <color theme="1"/>
        <rFont val="Times New Roman"/>
        <family val="1"/>
      </rPr>
      <t xml:space="preserve">       </t>
    </r>
    <r>
      <rPr>
        <sz val="11"/>
        <color theme="1"/>
        <rFont val="Calibri"/>
        <family val="2"/>
      </rPr>
      <t>¿Identifica y cuantifica los riesgos de producción en los procesos que realiza la unidad productiva?</t>
    </r>
  </si>
  <si>
    <r>
      <t>2.</t>
    </r>
    <r>
      <rPr>
        <sz val="7"/>
        <color theme="1"/>
        <rFont val="Times New Roman"/>
        <family val="1"/>
      </rPr>
      <t xml:space="preserve">       </t>
    </r>
    <r>
      <rPr>
        <sz val="11"/>
        <color theme="1"/>
        <rFont val="Calibri"/>
        <family val="2"/>
      </rPr>
      <t>¿Existen fichas técnicas de las maquinas, equipos, productos / servicios de la unidad productiva?</t>
    </r>
  </si>
  <si>
    <r>
      <t>3.</t>
    </r>
    <r>
      <rPr>
        <sz val="7"/>
        <color theme="1"/>
        <rFont val="Times New Roman"/>
        <family val="1"/>
      </rPr>
      <t xml:space="preserve">       </t>
    </r>
    <r>
      <rPr>
        <sz val="11"/>
        <color theme="1"/>
        <rFont val="Calibri"/>
        <family val="2"/>
      </rPr>
      <t>¿Es la infraestructura física adecuada para el desarrollo de la actividad económica?</t>
    </r>
  </si>
  <si>
    <r>
      <t>4.</t>
    </r>
    <r>
      <rPr>
        <sz val="7"/>
        <color theme="1"/>
        <rFont val="Times New Roman"/>
        <family val="1"/>
      </rPr>
      <t xml:space="preserve">       </t>
    </r>
    <r>
      <rPr>
        <sz val="11"/>
        <color theme="1"/>
        <rFont val="Calibri"/>
        <family val="2"/>
      </rPr>
      <t>¿Los puestos de trabajo y maquinaria están distribuidos para optimizar los tiempos de cada proceso al interior de la empresa?</t>
    </r>
  </si>
  <si>
    <r>
      <t>5.</t>
    </r>
    <r>
      <rPr>
        <sz val="7"/>
        <color theme="1"/>
        <rFont val="Times New Roman"/>
        <family val="1"/>
      </rPr>
      <t xml:space="preserve">       </t>
    </r>
    <r>
      <rPr>
        <sz val="11"/>
        <color theme="1"/>
        <rFont val="Calibri"/>
        <family val="2"/>
      </rPr>
      <t>¿Ha querido replicar en su unidad productiva algún avance que su competencia realizó?</t>
    </r>
  </si>
  <si>
    <r>
      <t>6.</t>
    </r>
    <r>
      <rPr>
        <sz val="7"/>
        <color theme="1"/>
        <rFont val="Times New Roman"/>
        <family val="1"/>
      </rPr>
      <t xml:space="preserve">       </t>
    </r>
    <r>
      <rPr>
        <sz val="11"/>
        <color theme="1"/>
        <rFont val="Calibri"/>
        <family val="2"/>
      </rPr>
      <t>¿Cuál es el manejo que se le da a los residuos que genera la empresa?</t>
    </r>
  </si>
  <si>
    <r>
      <t>7.</t>
    </r>
    <r>
      <rPr>
        <sz val="7"/>
        <color theme="1"/>
        <rFont val="Times New Roman"/>
        <family val="1"/>
      </rPr>
      <t xml:space="preserve">       </t>
    </r>
    <r>
      <rPr>
        <sz val="11"/>
        <color theme="1"/>
        <rFont val="Calibri"/>
        <family val="2"/>
      </rPr>
      <t>¿El proceso de producción y/o prestación del servicio está definido? (etapas, actividades, tareas, tiempos, cantidades y puntos de control).</t>
    </r>
  </si>
  <si>
    <r>
      <t>8.</t>
    </r>
    <r>
      <rPr>
        <sz val="7"/>
        <color theme="1"/>
        <rFont val="Times New Roman"/>
        <family val="1"/>
      </rPr>
      <t xml:space="preserve">       </t>
    </r>
    <r>
      <rPr>
        <sz val="11"/>
        <color theme="1"/>
        <rFont val="Calibri"/>
        <family val="2"/>
      </rPr>
      <t>¿El producto es flexible y se puede adaptar rápidamente a las tendencias del mercado?</t>
    </r>
  </si>
  <si>
    <r>
      <t>9.</t>
    </r>
    <r>
      <rPr>
        <sz val="7"/>
        <color theme="1"/>
        <rFont val="Times New Roman"/>
        <family val="1"/>
      </rPr>
      <t xml:space="preserve">       </t>
    </r>
    <r>
      <rPr>
        <sz val="11"/>
        <color theme="1"/>
        <rFont val="Calibri"/>
        <family val="2"/>
      </rPr>
      <t>¿Realiza control de calidad a su producto o servicio?, ¿Cada cuánto?</t>
    </r>
  </si>
  <si>
    <r>
      <t>10.</t>
    </r>
    <r>
      <rPr>
        <sz val="7"/>
        <color theme="1"/>
        <rFont val="Times New Roman"/>
        <family val="1"/>
      </rPr>
      <t xml:space="preserve">   </t>
    </r>
    <r>
      <rPr>
        <sz val="11"/>
        <color theme="1"/>
        <rFont val="Calibri"/>
        <family val="2"/>
      </rPr>
      <t>¿ Planea las compras de materia prima, insumos y, además, cuenta con un proceso de control de inventarios?</t>
    </r>
  </si>
  <si>
    <t>INFORMACIÓN FINANCIERA Y CONTABLE</t>
  </si>
  <si>
    <r>
      <t>1.</t>
    </r>
    <r>
      <rPr>
        <sz val="7"/>
        <color theme="1"/>
        <rFont val="Times New Roman"/>
        <family val="1"/>
      </rPr>
      <t xml:space="preserve">       </t>
    </r>
    <r>
      <rPr>
        <sz val="11"/>
        <color theme="1"/>
        <rFont val="Calibri"/>
        <family val="2"/>
      </rPr>
      <t>¿Existe separación de los gastos personales a los gastos del negocio?</t>
    </r>
  </si>
  <si>
    <r>
      <t>2.</t>
    </r>
    <r>
      <rPr>
        <sz val="7"/>
        <color theme="1"/>
        <rFont val="Times New Roman"/>
        <family val="1"/>
      </rPr>
      <t xml:space="preserve">       </t>
    </r>
    <r>
      <rPr>
        <sz val="11"/>
        <color theme="1"/>
        <rFont val="Calibri"/>
        <family val="2"/>
      </rPr>
      <t>¿Cuenta con un proceso definido para la fijación del precio de sus productos / servicios?</t>
    </r>
  </si>
  <si>
    <r>
      <t>3.</t>
    </r>
    <r>
      <rPr>
        <sz val="7"/>
        <color theme="1"/>
        <rFont val="Times New Roman"/>
        <family val="1"/>
      </rPr>
      <t xml:space="preserve">       </t>
    </r>
    <r>
      <rPr>
        <sz val="11"/>
        <color theme="1"/>
        <rFont val="Calibri"/>
        <family val="2"/>
      </rPr>
      <t>¿Conoce su margen de rentabilidad?</t>
    </r>
  </si>
  <si>
    <r>
      <t>4.</t>
    </r>
    <r>
      <rPr>
        <sz val="7"/>
        <color theme="1"/>
        <rFont val="Times New Roman"/>
        <family val="1"/>
      </rPr>
      <t xml:space="preserve">       </t>
    </r>
    <r>
      <rPr>
        <sz val="11"/>
        <color theme="1"/>
        <rFont val="Calibri"/>
        <family val="2"/>
      </rPr>
      <t>¿Identifica si la empresa está generando utilidad?</t>
    </r>
  </si>
  <si>
    <r>
      <t>5.</t>
    </r>
    <r>
      <rPr>
        <sz val="7"/>
        <color theme="1"/>
        <rFont val="Times New Roman"/>
        <family val="1"/>
      </rPr>
      <t xml:space="preserve">       </t>
    </r>
    <r>
      <rPr>
        <sz val="11"/>
        <color theme="1"/>
        <rFont val="Calibri"/>
        <family val="2"/>
      </rPr>
      <t>¿Se tiene identificado las fluctuaciones en la demanda por temporadas o variaciones del mercado?</t>
    </r>
  </si>
  <si>
    <r>
      <t>6.</t>
    </r>
    <r>
      <rPr>
        <sz val="7"/>
        <color theme="1"/>
        <rFont val="Times New Roman"/>
        <family val="1"/>
      </rPr>
      <t xml:space="preserve">       </t>
    </r>
    <r>
      <rPr>
        <sz val="11"/>
        <color theme="1"/>
        <rFont val="Calibri"/>
        <family val="2"/>
      </rPr>
      <t>Registros Ingresos: ¿Lleva registro de cuentas de: ventas, cuentas por cobrar, capital de trabajo?</t>
    </r>
  </si>
  <si>
    <r>
      <t>7.</t>
    </r>
    <r>
      <rPr>
        <sz val="7"/>
        <color theme="1"/>
        <rFont val="Times New Roman"/>
        <family val="1"/>
      </rPr>
      <t xml:space="preserve">       </t>
    </r>
    <r>
      <rPr>
        <sz val="11"/>
        <color theme="1"/>
        <rFont val="Calibri"/>
        <family val="2"/>
      </rPr>
      <t>Registros contables: ¿Lleva registro de cuentas de: compras, gastos, cuentas por pagar, proveedores?</t>
    </r>
  </si>
  <si>
    <r>
      <t>8.</t>
    </r>
    <r>
      <rPr>
        <sz val="7"/>
        <color theme="1"/>
        <rFont val="Times New Roman"/>
        <family val="1"/>
      </rPr>
      <t xml:space="preserve">       </t>
    </r>
    <r>
      <rPr>
        <sz val="11"/>
        <color theme="1"/>
        <rFont val="Calibri"/>
        <family val="2"/>
      </rPr>
      <t>Plan Financiero: ¿Sabe cuánto le cuesta producir su bien o servicio? (Costos variables)</t>
    </r>
  </si>
  <si>
    <r>
      <t>9.</t>
    </r>
    <r>
      <rPr>
        <sz val="7"/>
        <color theme="1"/>
        <rFont val="Times New Roman"/>
        <family val="1"/>
      </rPr>
      <t xml:space="preserve">       </t>
    </r>
    <r>
      <rPr>
        <sz val="11"/>
        <color theme="1"/>
        <rFont val="Calibri"/>
        <family val="2"/>
      </rPr>
      <t>¿Reinvierte ganancias para el mejoramiento de su unidad productiva?</t>
    </r>
  </si>
  <si>
    <r>
      <t>10.</t>
    </r>
    <r>
      <rPr>
        <sz val="7"/>
        <color theme="1"/>
        <rFont val="Times New Roman"/>
        <family val="1"/>
      </rPr>
      <t xml:space="preserve">   </t>
    </r>
    <r>
      <rPr>
        <sz val="11"/>
        <color theme="1"/>
        <rFont val="Calibri"/>
        <family val="2"/>
      </rPr>
      <t xml:space="preserve">¿Identifica y da cumplimimento a las normas tributarias y contables? </t>
    </r>
  </si>
  <si>
    <t>ÍTEM</t>
  </si>
  <si>
    <t>RANGO EVALUATIVO</t>
  </si>
  <si>
    <t>No se ha implementado ninguna actividad de esta práctica o tal vez, se contemplan, pero no se aplican</t>
  </si>
  <si>
    <t>Desarrollo Nulo</t>
  </si>
  <si>
    <t>Se han realizado algunas actividades, pero no se hacen periódicamente ni se tiene seguimiento</t>
  </si>
  <si>
    <t>Desarrollo Medio</t>
  </si>
  <si>
    <t>Se realizan actividades de esta práctica y son cuantificadas</t>
  </si>
  <si>
    <t xml:space="preserve">Desarrollo Alto </t>
  </si>
  <si>
    <t>ESTADO DE DESARROLLO</t>
  </si>
  <si>
    <t>Rango Evaluativo</t>
  </si>
  <si>
    <t>Equivalencia Estado de Desarrollo</t>
  </si>
  <si>
    <t>Equivalencia porcentual</t>
  </si>
  <si>
    <r>
      <t>1.</t>
    </r>
    <r>
      <rPr>
        <sz val="7"/>
        <color theme="1"/>
        <rFont val="Times New Roman"/>
        <family val="1"/>
      </rPr>
      <t xml:space="preserve">  </t>
    </r>
    <r>
      <rPr>
        <sz val="11"/>
        <color theme="1"/>
        <rFont val="Calibri"/>
        <family val="2"/>
      </rPr>
      <t>¿Para la planeación estratégica y fijación de objetivos se tiene en cuenta al cliente interno y las tendencias del mercado?</t>
    </r>
  </si>
  <si>
    <t>EQUIVALENCIA PORCENTUAL</t>
  </si>
  <si>
    <t>TOTAL ÁREA</t>
  </si>
  <si>
    <t>Gráficos según equivalencia porcentual</t>
  </si>
  <si>
    <t>Gráficos según rango de evaluación</t>
  </si>
  <si>
    <t xml:space="preserve">Porcentaje </t>
  </si>
  <si>
    <t>Estado de desarrollo</t>
  </si>
  <si>
    <t>Área</t>
  </si>
  <si>
    <t>Legal - Administrativa</t>
  </si>
  <si>
    <t>Comercial</t>
  </si>
  <si>
    <t>Técnico - Operativa</t>
  </si>
  <si>
    <t>Financiera y Contable</t>
  </si>
  <si>
    <r>
      <t xml:space="preserve">PROMEDIO
</t>
    </r>
    <r>
      <rPr>
        <sz val="11"/>
        <color theme="1"/>
        <rFont val="Calibri"/>
        <family val="2"/>
        <scheme val="minor"/>
      </rPr>
      <t>Estado de Desarrollo Unidad Productiva</t>
    </r>
  </si>
  <si>
    <t>Gráfica General del Diagnóstico</t>
  </si>
  <si>
    <t>Gráficas por Área de la Unidad Productiva</t>
  </si>
  <si>
    <t>FORMATO DE DIAGNÓSTICO EMPRESARIAL</t>
  </si>
  <si>
    <t xml:space="preserve">Agencia Pública de Empleo </t>
  </si>
  <si>
    <t>Nombre del Emprendedor:</t>
  </si>
  <si>
    <t>Regional:</t>
  </si>
  <si>
    <t>Nombre del Dinamizador</t>
  </si>
  <si>
    <t xml:space="preserve"> </t>
  </si>
  <si>
    <t>Nombre de la Iniciativa de Negocio:</t>
  </si>
  <si>
    <t>Sector Económico (según código CIIU):</t>
  </si>
  <si>
    <r>
      <t>Tiempo real de funcionamiento:</t>
    </r>
    <r>
      <rPr>
        <sz val="12"/>
        <color theme="1"/>
        <rFont val="Calibri"/>
        <family val="2"/>
      </rPr>
      <t xml:space="preserve"> </t>
    </r>
  </si>
  <si>
    <t xml:space="preserve">Cantidad de empleados: </t>
  </si>
  <si>
    <t xml:space="preserve">Dirección de la UP: </t>
  </si>
  <si>
    <r>
      <t>Teléfono fijo o celular:</t>
    </r>
    <r>
      <rPr>
        <sz val="12"/>
        <color theme="1"/>
        <rFont val="Calibri"/>
        <family val="2"/>
      </rPr>
      <t xml:space="preserve"> </t>
    </r>
  </si>
  <si>
    <t xml:space="preserve">Correo electrónico: </t>
  </si>
  <si>
    <t>Redes sociales o página web (si aplica):</t>
  </si>
  <si>
    <t>Nombre del Dinamizador:</t>
  </si>
  <si>
    <t>Individual</t>
  </si>
  <si>
    <t>Afro</t>
  </si>
  <si>
    <t>Propia</t>
  </si>
  <si>
    <t xml:space="preserve">Familiar </t>
  </si>
  <si>
    <t>Asociativa</t>
  </si>
  <si>
    <t>Otro</t>
  </si>
  <si>
    <t>Arrendada</t>
  </si>
  <si>
    <t>Indígena</t>
  </si>
  <si>
    <t>Raizal</t>
  </si>
  <si>
    <t>Ninguno</t>
  </si>
  <si>
    <t>Estrato socioeconómico:</t>
  </si>
  <si>
    <t>El tipo de vivienda es:</t>
  </si>
  <si>
    <t>Pertenece a un grupo étnico:</t>
  </si>
  <si>
    <t>Tipo de iniciativa:</t>
  </si>
  <si>
    <t>Número de cédula del emprendedor:</t>
  </si>
  <si>
    <t>De acuerdo con la Ley 1581 de 2012 Por la cual se dictan disposiciones generales para la protección de datos personales, el tratamiento de la información solicitada anteriormente es para uso exclusivo del Servicio Nacional de Aprendizaje SENA, en ningún momento será suministrada a terceros, por tal motivo, como emprendedor, autorizo el uso de la información para uso exclusivo de la Agencia Pública de Empleo SENA  para los fines de emprendimiento y, en señal de aceptación firmo el presente documento, así como el anexo 1 línea base del diagnóstico empresarial".</t>
  </si>
  <si>
    <t xml:space="preserve">Firma del emprendedor		</t>
  </si>
  <si>
    <t>Indicador</t>
  </si>
  <si>
    <t>Descripción</t>
  </si>
  <si>
    <t>Línea Base</t>
  </si>
  <si>
    <t>Resultado</t>
  </si>
  <si>
    <t>Variación</t>
  </si>
  <si>
    <t>Valor</t>
  </si>
  <si>
    <t>Fecha</t>
  </si>
  <si>
    <t>Ventas</t>
  </si>
  <si>
    <t xml:space="preserve">Comparación nivel de ventas al momento diagnóstico vs al finalizar proceso de fortalecimiento </t>
  </si>
  <si>
    <t>Día / Mes / Año</t>
  </si>
  <si>
    <t>Gastos Fijos</t>
  </si>
  <si>
    <t xml:space="preserve">Comparación gastos de la empresa al momento diagnóstico vs al finalizar proceso de fortalecimiento </t>
  </si>
  <si>
    <t>Empleos</t>
  </si>
  <si>
    <t xml:space="preserve">Comparación generación empleos directos formales al momento diagnóstico vs al finalizar proceso de fortalecimiento </t>
  </si>
  <si>
    <t>De acuerdo con la Ley 1581 de 2012 Por la cual se dictan disposiciones generales para la protección de datos personales, el tratamiento de la información solicitada anteriormente es para uso exclusivo del Servicio Nacional de Aprendizaje SENA, en ningún momento será suministrada a terceros, por tal motivo, como emprendedor, autorizo el uso de la información para uso exclusivo de la Agencia Pública de Empleo SENA  para los fines de emprendimiento".</t>
  </si>
  <si>
    <t>Cantidad</t>
  </si>
  <si>
    <t>Nombre de la Unidad Productiva:</t>
  </si>
  <si>
    <t xml:space="preserve">Fecha de aplicación de la Herramienta de Diagnóstico: </t>
  </si>
  <si>
    <t>_____ /_______ / _____</t>
  </si>
  <si>
    <r>
      <rPr>
        <b/>
        <sz val="22"/>
        <rFont val="Calibri"/>
        <family val="2"/>
      </rPr>
      <t>FORMATO DE DIAGNÓSTICO EMPRESARIAL Y LÍNEA BASE</t>
    </r>
    <r>
      <rPr>
        <b/>
        <sz val="16"/>
        <rFont val="Calibri"/>
        <family val="2"/>
      </rPr>
      <t xml:space="preserve">
</t>
    </r>
    <r>
      <rPr>
        <sz val="16"/>
        <rFont val="Calibri"/>
        <family val="2"/>
      </rPr>
      <t xml:space="preserve">DATOS GENERALES DEL PROYECTO </t>
    </r>
  </si>
  <si>
    <r>
      <rPr>
        <b/>
        <sz val="18"/>
        <rFont val="Calibri"/>
        <family val="2"/>
        <scheme val="minor"/>
      </rPr>
      <t xml:space="preserve">FORMATO DE DIAGNÓSTICO EMPRESARIAL
</t>
    </r>
    <r>
      <rPr>
        <sz val="11"/>
        <rFont val="Calibri"/>
        <family val="2"/>
        <scheme val="minor"/>
      </rPr>
      <t>LÍNEA BASE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</si>
</sst>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7"/>
      <color theme="1"/>
      <name val="Times New Roman"/>
      <family val="1"/>
    </font>
    <font>
      <b/>
      <sz val="12"/>
      <color theme="1"/>
      <name val="Calibri"/>
      <family val="2"/>
    </font>
    <font>
      <sz val="11"/>
      <color rgb="FF000000"/>
      <name val="Calibri"/>
      <family val="2"/>
    </font>
    <font>
      <b/>
      <sz val="16"/>
      <color theme="1"/>
      <name val="Calibri"/>
      <family val="2"/>
      <scheme val="minor"/>
    </font>
    <font>
      <b/>
      <sz val="11"/>
      <color theme="1"/>
      <name val="Calibri"/>
      <family val="2"/>
    </font>
    <font>
      <b/>
      <sz val="14"/>
      <color theme="1"/>
      <name val="Calibri"/>
      <family val="2"/>
      <scheme val="minor"/>
    </font>
    <font>
      <sz val="16"/>
      <color theme="5"/>
      <name val="Calibri"/>
      <family val="2"/>
    </font>
    <font>
      <sz val="16"/>
      <name val="Calibri"/>
      <family val="2"/>
    </font>
    <font>
      <sz val="12"/>
      <color theme="1"/>
      <name val="Calibri"/>
      <family val="2"/>
    </font>
    <font>
      <sz val="8"/>
      <color theme="1"/>
      <name val="Calibri"/>
      <family val="2"/>
    </font>
    <font>
      <sz val="11"/>
      <color rgb="FF7F7F7F"/>
      <name val="Calibri"/>
      <family val="2"/>
    </font>
    <font>
      <b/>
      <sz val="16"/>
      <name val="Calibri"/>
      <family val="2"/>
    </font>
    <font>
      <b/>
      <sz val="22"/>
      <name val="Calibri"/>
      <family val="2"/>
    </font>
    <font>
      <b/>
      <sz val="24"/>
      <name val="Calibri"/>
      <family val="2"/>
    </font>
    <font>
      <sz val="11"/>
      <name val="Calibri"/>
      <family val="2"/>
      <scheme val="minor"/>
    </font>
    <font>
      <b/>
      <sz val="18"/>
      <name val="Calibri"/>
      <family val="2"/>
      <scheme val="minor"/>
    </font>
    <font>
      <b/>
      <sz val="24"/>
      <name val="Calibri"/>
      <family val="2"/>
      <scheme val="minor"/>
    </font>
  </fonts>
  <fills count="3">
    <fill>
      <patternFill patternType="none"/>
    </fill>
    <fill>
      <patternFill patternType="gray125"/>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74">
    <xf numFmtId="0" fontId="0" fillId="0" borderId="0" xfId="0"/>
    <xf numFmtId="0" fontId="7" fillId="0" borderId="1" xfId="0" applyFont="1" applyBorder="1" applyAlignment="1" applyProtection="1">
      <alignment horizontal="center" vertical="center"/>
      <protection hidden="1"/>
    </xf>
    <xf numFmtId="0" fontId="2" fillId="0" borderId="1" xfId="0" applyFont="1" applyBorder="1" applyAlignment="1" applyProtection="1">
      <alignment horizontal="center" vertical="center" wrapText="1"/>
      <protection hidden="1"/>
    </xf>
    <xf numFmtId="0" fontId="0" fillId="0" borderId="0" xfId="0" applyProtection="1">
      <protection hidden="1"/>
    </xf>
    <xf numFmtId="0" fontId="0" fillId="0" borderId="1" xfId="0" applyBorder="1" applyProtection="1">
      <protection hidden="1"/>
    </xf>
    <xf numFmtId="0" fontId="8" fillId="0" borderId="1" xfId="0" applyFont="1" applyBorder="1" applyAlignment="1" applyProtection="1">
      <alignment horizontal="center" vertical="center" wrapText="1"/>
      <protection hidden="1"/>
    </xf>
    <xf numFmtId="9" fontId="0" fillId="0" borderId="1" xfId="0" applyNumberFormat="1" applyBorder="1" applyProtection="1">
      <protection hidden="1"/>
    </xf>
    <xf numFmtId="0" fontId="3" fillId="0" borderId="0" xfId="0" applyFont="1" applyAlignment="1" applyProtection="1">
      <alignment horizontal="justify" vertical="center" wrapText="1"/>
      <protection hidden="1"/>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2" fillId="0" borderId="1" xfId="0" applyFont="1" applyBorder="1" applyProtection="1">
      <protection hidden="1"/>
    </xf>
    <xf numFmtId="0" fontId="0" fillId="0" borderId="1" xfId="0" applyBorder="1" applyAlignment="1" applyProtection="1">
      <alignment horizontal="left" vertical="center"/>
      <protection hidden="1"/>
    </xf>
    <xf numFmtId="0" fontId="2" fillId="0" borderId="1" xfId="0" applyFont="1" applyBorder="1" applyAlignment="1" applyProtection="1">
      <alignment horizontal="left" vertical="center"/>
      <protection hidden="1"/>
    </xf>
    <xf numFmtId="9" fontId="0" fillId="0" borderId="1" xfId="1" applyFont="1" applyBorder="1" applyAlignment="1" applyProtection="1">
      <alignment horizontal="right" vertical="center"/>
      <protection hidden="1"/>
    </xf>
    <xf numFmtId="9" fontId="2" fillId="0" borderId="1" xfId="0" applyNumberFormat="1" applyFont="1" applyBorder="1" applyAlignment="1" applyProtection="1">
      <alignment horizontal="right" vertical="center"/>
      <protection hidden="1"/>
    </xf>
    <xf numFmtId="9" fontId="2" fillId="0" borderId="1" xfId="1" applyFont="1" applyBorder="1" applyAlignment="1" applyProtection="1">
      <alignment horizontal="right" vertical="center"/>
      <protection hidden="1"/>
    </xf>
    <xf numFmtId="0" fontId="9" fillId="2" borderId="1" xfId="0" applyFont="1" applyFill="1" applyBorder="1" applyAlignment="1" applyProtection="1">
      <alignment horizontal="center" vertical="center"/>
      <protection hidden="1"/>
    </xf>
    <xf numFmtId="0" fontId="9" fillId="2" borderId="1" xfId="0" applyFont="1" applyFill="1" applyBorder="1" applyAlignment="1" applyProtection="1">
      <alignment horizontal="center" vertical="center" wrapText="1"/>
      <protection hidden="1"/>
    </xf>
    <xf numFmtId="9" fontId="0" fillId="0" borderId="1" xfId="0" applyNumberFormat="1" applyBorder="1" applyAlignment="1" applyProtection="1">
      <alignment horizontal="center" vertical="center"/>
      <protection hidden="1"/>
    </xf>
    <xf numFmtId="0" fontId="0" fillId="0" borderId="1" xfId="0" applyBorder="1"/>
    <xf numFmtId="0" fontId="5" fillId="0" borderId="1" xfId="0" applyFont="1" applyBorder="1" applyAlignment="1">
      <alignment vertical="center"/>
    </xf>
    <xf numFmtId="0" fontId="3" fillId="0" borderId="1" xfId="0" applyFont="1" applyBorder="1" applyAlignment="1" applyProtection="1">
      <alignment horizontal="left" vertical="top" wrapText="1"/>
      <protection locked="0"/>
    </xf>
    <xf numFmtId="0" fontId="8" fillId="0" borderId="1" xfId="0" applyFont="1" applyBorder="1" applyAlignment="1" applyProtection="1">
      <alignment horizontal="center" vertical="center" wrapText="1"/>
      <protection locked="0"/>
    </xf>
    <xf numFmtId="0" fontId="5" fillId="0" borderId="1" xfId="0" applyFont="1" applyBorder="1" applyAlignment="1">
      <alignment horizontal="left" vertical="center"/>
    </xf>
    <xf numFmtId="0" fontId="0" fillId="0" borderId="1" xfId="0" applyBorder="1" applyProtection="1">
      <protection locked="0"/>
    </xf>
    <xf numFmtId="0" fontId="12" fillId="0" borderId="1" xfId="0" applyFont="1" applyBorder="1" applyAlignment="1" applyProtection="1">
      <alignment horizontal="center" vertical="center"/>
      <protection locked="0"/>
    </xf>
    <xf numFmtId="0" fontId="0" fillId="0" borderId="1" xfId="0" applyBorder="1" applyAlignment="1" applyProtection="1">
      <alignment horizontal="center"/>
      <protection locked="0"/>
    </xf>
    <xf numFmtId="0" fontId="2" fillId="0" borderId="5" xfId="0" applyFont="1" applyBorder="1" applyAlignment="1">
      <alignment wrapText="1"/>
    </xf>
    <xf numFmtId="0" fontId="3" fillId="0" borderId="1" xfId="0" applyFont="1" applyBorder="1" applyAlignment="1" applyProtection="1">
      <alignment horizontal="center" vertical="center" wrapText="1"/>
      <protection hidden="1"/>
    </xf>
    <xf numFmtId="0" fontId="3" fillId="0" borderId="1" xfId="0" applyFont="1" applyBorder="1" applyAlignment="1" applyProtection="1">
      <alignment vertical="center"/>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wrapText="1"/>
      <protection hidden="1"/>
    </xf>
    <xf numFmtId="0" fontId="5" fillId="0" borderId="8" xfId="0" applyFont="1" applyBorder="1" applyAlignment="1" applyProtection="1">
      <alignment horizontal="center" vertical="center" wrapText="1"/>
      <protection hidden="1"/>
    </xf>
    <xf numFmtId="0" fontId="6" fillId="0" borderId="9" xfId="0" applyFont="1" applyBorder="1" applyAlignment="1" applyProtection="1">
      <alignment vertical="center"/>
      <protection hidden="1"/>
    </xf>
    <xf numFmtId="9" fontId="3" fillId="0" borderId="10" xfId="1" applyFont="1" applyBorder="1" applyAlignment="1" applyProtection="1">
      <alignment horizontal="center" vertical="center" wrapText="1"/>
      <protection hidden="1"/>
    </xf>
    <xf numFmtId="0" fontId="6" fillId="0" borderId="11" xfId="0" applyFont="1" applyBorder="1" applyAlignment="1" applyProtection="1">
      <alignment vertical="center"/>
      <protection hidden="1"/>
    </xf>
    <xf numFmtId="0" fontId="3" fillId="0" borderId="12" xfId="0" applyFont="1" applyBorder="1" applyAlignment="1" applyProtection="1">
      <alignment horizontal="center" vertical="center" wrapText="1"/>
      <protection hidden="1"/>
    </xf>
    <xf numFmtId="0" fontId="3" fillId="0" borderId="12" xfId="0" applyFont="1" applyBorder="1" applyAlignment="1" applyProtection="1">
      <alignment vertical="center"/>
      <protection hidden="1"/>
    </xf>
    <xf numFmtId="9" fontId="3" fillId="0" borderId="13" xfId="1" applyFont="1" applyBorder="1" applyAlignment="1" applyProtection="1">
      <alignment horizontal="center" vertical="center" wrapText="1"/>
      <protection hidden="1"/>
    </xf>
    <xf numFmtId="0" fontId="0" fillId="0" borderId="0" xfId="0" applyProtection="1">
      <protection locked="0"/>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3" fillId="0" borderId="1" xfId="0" applyFont="1" applyBorder="1" applyAlignment="1">
      <alignment vertical="center" wrapText="1"/>
    </xf>
    <xf numFmtId="0" fontId="14" fillId="0" borderId="1" xfId="0" applyFont="1" applyBorder="1" applyAlignment="1" applyProtection="1">
      <alignment horizontal="left" vertical="center" wrapText="1"/>
      <protection locked="0"/>
    </xf>
    <xf numFmtId="44" fontId="14" fillId="0" borderId="1" xfId="2" applyFont="1" applyBorder="1" applyAlignment="1" applyProtection="1">
      <alignment horizontal="left" vertical="center" wrapText="1"/>
      <protection locked="0"/>
    </xf>
    <xf numFmtId="9" fontId="14" fillId="0" borderId="1" xfId="1" applyFont="1" applyBorder="1" applyAlignment="1" applyProtection="1">
      <alignment horizontal="center" vertical="center" wrapText="1"/>
      <protection hidden="1"/>
    </xf>
    <xf numFmtId="0" fontId="11" fillId="0" borderId="0" xfId="0" applyFont="1" applyAlignment="1">
      <alignment horizontal="left" vertical="center"/>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0" fillId="0" borderId="0" xfId="0"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0" fillId="0" borderId="0" xfId="0" applyFont="1" applyAlignment="1" applyProtection="1">
      <alignment horizontal="center" vertical="center"/>
      <protection locked="0"/>
    </xf>
    <xf numFmtId="0" fontId="11" fillId="0" borderId="0" xfId="0" applyFont="1" applyAlignment="1" applyProtection="1">
      <alignment horizontal="center" vertical="center"/>
      <protection locked="0"/>
    </xf>
    <xf numFmtId="0" fontId="17" fillId="0" borderId="0" xfId="0" applyFont="1" applyAlignment="1">
      <alignment horizontal="center" vertical="center"/>
    </xf>
    <xf numFmtId="0" fontId="11" fillId="0" borderId="0" xfId="0" applyFont="1" applyAlignment="1">
      <alignment horizontal="center" vertical="center"/>
    </xf>
    <xf numFmtId="0" fontId="0" fillId="0" borderId="0" xfId="0" applyAlignment="1" applyProtection="1">
      <alignment horizontal="center"/>
      <protection locked="0"/>
    </xf>
    <xf numFmtId="0" fontId="11" fillId="0" borderId="0" xfId="0" applyFont="1" applyAlignment="1" applyProtection="1">
      <alignment horizontal="left" vertical="center"/>
      <protection locked="0"/>
    </xf>
    <xf numFmtId="0" fontId="8" fillId="0" borderId="1" xfId="0" applyFont="1" applyBorder="1" applyAlignment="1">
      <alignment horizontal="center" vertical="center" wrapText="1"/>
    </xf>
    <xf numFmtId="0" fontId="14" fillId="0" borderId="1" xfId="0" applyFont="1" applyBorder="1" applyAlignment="1" applyProtection="1">
      <alignment horizontal="center" vertical="center" textRotation="90" wrapText="1"/>
      <protection locked="0"/>
    </xf>
    <xf numFmtId="0" fontId="18" fillId="0" borderId="0" xfId="0" applyFont="1" applyAlignment="1">
      <alignment horizontal="center" wrapText="1"/>
    </xf>
    <xf numFmtId="0" fontId="18" fillId="0" borderId="0" xfId="0" applyFont="1" applyAlignment="1">
      <alignment horizontal="center"/>
    </xf>
    <xf numFmtId="0" fontId="0" fillId="0" borderId="2" xfId="0" applyBorder="1" applyAlignment="1" applyProtection="1">
      <alignment horizontal="center"/>
      <protection hidden="1"/>
    </xf>
    <xf numFmtId="0" fontId="0" fillId="0" borderId="3" xfId="0" applyBorder="1" applyAlignment="1" applyProtection="1">
      <alignment horizontal="center"/>
      <protection hidden="1"/>
    </xf>
    <xf numFmtId="0" fontId="0" fillId="0" borderId="4" xfId="0" applyBorder="1" applyAlignment="1" applyProtection="1">
      <alignment horizontal="center"/>
      <protection hidden="1"/>
    </xf>
    <xf numFmtId="0" fontId="20" fillId="0" borderId="0" xfId="0" applyFont="1" applyAlignment="1" applyProtection="1">
      <alignment horizontal="center"/>
      <protection hidden="1"/>
    </xf>
    <xf numFmtId="0" fontId="7" fillId="0" borderId="0" xfId="0" applyFont="1" applyAlignment="1" applyProtection="1">
      <alignment horizontal="center"/>
      <protection hidden="1"/>
    </xf>
  </cellXfs>
  <cellStyles count="3">
    <cellStyle name="Moneda" xfId="2" builtinId="4"/>
    <cellStyle name="Normal" xfId="0" builtinId="0"/>
    <cellStyle name="Porcentaje" xfId="1" builtinId="5"/>
  </cellStyles>
  <dxfs count="4">
    <dxf>
      <font>
        <color auto="1"/>
      </font>
      <fill>
        <patternFill>
          <bgColor rgb="FF00B050"/>
        </patternFill>
      </fill>
    </dxf>
    <dxf>
      <font>
        <color auto="1"/>
      </font>
      <fill>
        <patternFill>
          <bgColor rgb="FFFFC000"/>
        </patternFill>
      </fill>
    </dxf>
    <dxf>
      <font>
        <color auto="1"/>
      </font>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s-ES" sz="2000">
                <a:solidFill>
                  <a:sysClr val="windowText" lastClr="000000"/>
                </a:solidFill>
              </a:rPr>
              <a:t>Estado de Desarrollo</a:t>
            </a:r>
          </a:p>
        </c:rich>
      </c:tx>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s-CO"/>
        </a:p>
      </c:txPr>
    </c:title>
    <c:autoTitleDeleted val="0"/>
    <c:plotArea>
      <c:layout/>
      <c:radarChart>
        <c:radarStyle val="marker"/>
        <c:varyColors val="0"/>
        <c:ser>
          <c:idx val="0"/>
          <c:order val="0"/>
          <c:spPr>
            <a:ln w="28575" cap="rnd">
              <a:solidFill>
                <a:schemeClr val="tx1"/>
              </a:solidFill>
              <a:round/>
            </a:ln>
            <a:effectLst/>
          </c:spPr>
          <c:marker>
            <c:symbol val="circle"/>
            <c:size val="5"/>
            <c:spPr>
              <a:solidFill>
                <a:schemeClr val="dk1">
                  <a:tint val="88500"/>
                </a:schemeClr>
              </a:solidFill>
              <a:ln w="9525">
                <a:solidFill>
                  <a:schemeClr val="dk1">
                    <a:tint val="88500"/>
                  </a:schemeClr>
                </a:solidFill>
              </a:ln>
              <a:effectLst/>
            </c:spPr>
          </c:marker>
          <c:cat>
            <c:strRef>
              <c:f>'Gráfica Consolidado General'!$B$8:$B$11</c:f>
              <c:strCache>
                <c:ptCount val="4"/>
                <c:pt idx="0">
                  <c:v>Legal - Administrativa</c:v>
                </c:pt>
                <c:pt idx="1">
                  <c:v>Comercial</c:v>
                </c:pt>
                <c:pt idx="2">
                  <c:v>Técnico - Operativa</c:v>
                </c:pt>
                <c:pt idx="3">
                  <c:v>Financiera y Contable</c:v>
                </c:pt>
              </c:strCache>
            </c:strRef>
          </c:cat>
          <c:val>
            <c:numRef>
              <c:f>'Gráfica Consolidado General'!$C$8:$C$11</c:f>
              <c:numCache>
                <c:formatCode>0%</c:formatCode>
                <c:ptCount val="4"/>
                <c:pt idx="0">
                  <c:v>0</c:v>
                </c:pt>
                <c:pt idx="1">
                  <c:v>0</c:v>
                </c:pt>
                <c:pt idx="2">
                  <c:v>0</c:v>
                </c:pt>
                <c:pt idx="3">
                  <c:v>0</c:v>
                </c:pt>
              </c:numCache>
            </c:numRef>
          </c:val>
          <c:extLst>
            <c:ext xmlns:c16="http://schemas.microsoft.com/office/drawing/2014/chart" uri="{C3380CC4-5D6E-409C-BE32-E72D297353CC}">
              <c16:uniqueId val="{00000000-B405-4D99-93A2-4615B5633B5A}"/>
            </c:ext>
          </c:extLst>
        </c:ser>
        <c:dLbls>
          <c:showLegendKey val="0"/>
          <c:showVal val="0"/>
          <c:showCatName val="0"/>
          <c:showSerName val="0"/>
          <c:showPercent val="0"/>
          <c:showBubbleSize val="0"/>
        </c:dLbls>
        <c:axId val="688088528"/>
        <c:axId val="688094768"/>
      </c:radarChart>
      <c:catAx>
        <c:axId val="68808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8094768"/>
        <c:crosses val="autoZero"/>
        <c:auto val="1"/>
        <c:lblAlgn val="ctr"/>
        <c:lblOffset val="100"/>
        <c:noMultiLvlLbl val="0"/>
      </c:catAx>
      <c:valAx>
        <c:axId val="688094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808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s-ES" sz="1800">
                <a:solidFill>
                  <a:sysClr val="windowText" lastClr="000000"/>
                </a:solidFill>
              </a:rPr>
              <a:t>Legal</a:t>
            </a:r>
            <a:r>
              <a:rPr lang="es-ES" sz="1800" baseline="0">
                <a:solidFill>
                  <a:sysClr val="windowText" lastClr="000000"/>
                </a:solidFill>
              </a:rPr>
              <a:t> y Administrativa</a:t>
            </a:r>
            <a:endParaRPr lang="es-ES" sz="1800">
              <a:solidFill>
                <a:sysClr val="windowText" lastClr="000000"/>
              </a:solidFill>
            </a:endParaRPr>
          </a:p>
        </c:rich>
      </c:tx>
      <c:layout>
        <c:manualLayout>
          <c:xMode val="edge"/>
          <c:yMode val="edge"/>
          <c:x val="0.35480096743103418"/>
          <c:y val="2.952157296127458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s-CO"/>
        </a:p>
      </c:txPr>
    </c:title>
    <c:autoTitleDeleted val="0"/>
    <c:plotArea>
      <c:layout/>
      <c:radarChart>
        <c:radarStyle val="marker"/>
        <c:varyColors val="0"/>
        <c:ser>
          <c:idx val="1"/>
          <c:order val="0"/>
          <c:spPr>
            <a:ln w="19050" cap="rnd" cmpd="sng" algn="ctr">
              <a:solidFill>
                <a:schemeClr val="dk1">
                  <a:tint val="55000"/>
                </a:schemeClr>
              </a:solidFill>
              <a:prstDash val="solid"/>
              <a:round/>
            </a:ln>
            <a:effectLst/>
          </c:spPr>
          <c:marker>
            <c:spPr>
              <a:solidFill>
                <a:schemeClr val="dk1">
                  <a:tint val="55000"/>
                </a:schemeClr>
              </a:solidFill>
              <a:ln w="6350" cap="flat" cmpd="sng" algn="ctr">
                <a:solidFill>
                  <a:schemeClr val="dk1">
                    <a:tint val="55000"/>
                  </a:schemeClr>
                </a:solidFill>
                <a:prstDash val="solid"/>
                <a:round/>
              </a:ln>
              <a:effectLst/>
            </c:spPr>
          </c:marker>
          <c:cat>
            <c:strRef>
              <c:f>Diagnóstico!$A$11:$C$20</c:f>
              <c:strCache>
                <c:ptCount val="10"/>
                <c:pt idx="0">
                  <c:v>1.  ¿Para la planeación estratégica y fijación de objetivos se tiene en cuenta al cliente interno y las tendencias del mercado?</c:v>
                </c:pt>
                <c:pt idx="1">
                  <c:v>2.       ¿Es suficiente el número de trabajadores para el cumplimiento de las actividades diarias de la empresa?</c:v>
                </c:pt>
                <c:pt idx="2">
                  <c:v>3.       ¿Cuenta con reemplazos en los momentos de ausencia prolongada de algún trabajador?</c:v>
                </c:pt>
                <c:pt idx="3">
                  <c:v>4.       ¿La Unidad Productiva se encuentra bancarizada para la gestión de ventas?</c:v>
                </c:pt>
                <c:pt idx="4">
                  <c:v>5.       ¿El emprendedor cuenta con la asignación de salario?</c:v>
                </c:pt>
                <c:pt idx="5">
                  <c:v>6.       ¿El emprendedor y sus empleados (si aplica) se encuentran afiliados a un sistema de seguridad social contributivo?</c:v>
                </c:pt>
                <c:pt idx="6">
                  <c:v>7.       ¿Tiene una estructura organizacional definida e implementada? (Organigrama, manual de funciones y definición de perfiles)</c:v>
                </c:pt>
                <c:pt idx="7">
                  <c:v>8.       Seguridad y Salud en el trabajo: ¿Identifica y utiliza apropiadamente los elementos de protección personal y la Unidad Productiva está señalizada? </c:v>
                </c:pt>
                <c:pt idx="8">
                  <c:v>9.       ¿Su unidad productiva ha implmentado herramientas de innovación para mejorar competitivamente?</c:v>
                </c:pt>
                <c:pt idx="9">
                  <c:v>10.   ¿Conoce los permisos y licencias que requiere el funcionamiento de su unidad productiva, además, está comprometida con el cuidado y preservación del medio ambiente? </c:v>
                </c:pt>
              </c:strCache>
            </c:strRef>
          </c:cat>
          <c:val>
            <c:numRef>
              <c:f>Diagnóstico!$D$11:$D$20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D-6334-41A8-B7C1-403258EF91F4}"/>
            </c:ext>
          </c:extLst>
        </c:ser>
        <c:ser>
          <c:idx val="0"/>
          <c:order val="1"/>
          <c:spPr>
            <a:ln w="19050" cap="rnd" cmpd="sng" algn="ctr">
              <a:solidFill>
                <a:schemeClr val="tx1"/>
              </a:solidFill>
              <a:prstDash val="solid"/>
              <a:round/>
            </a:ln>
            <a:effectLst/>
          </c:spPr>
          <c:marker>
            <c:symbol val="circle"/>
            <c:size val="5"/>
            <c:spPr>
              <a:solidFill>
                <a:schemeClr val="dk1">
                  <a:tint val="88500"/>
                </a:schemeClr>
              </a:solidFill>
              <a:ln w="6350" cap="flat" cmpd="sng" algn="ctr">
                <a:solidFill>
                  <a:schemeClr val="dk1">
                    <a:tint val="88500"/>
                  </a:schemeClr>
                </a:solidFill>
                <a:prstDash val="solid"/>
                <a:round/>
              </a:ln>
              <a:effectLst/>
            </c:spPr>
          </c:marker>
          <c:cat>
            <c:strRef>
              <c:f>Diagnóstico!$A$11:$C$20</c:f>
              <c:strCache>
                <c:ptCount val="10"/>
                <c:pt idx="0">
                  <c:v>1.  ¿Para la planeación estratégica y fijación de objetivos se tiene en cuenta al cliente interno y las tendencias del mercado?</c:v>
                </c:pt>
                <c:pt idx="1">
                  <c:v>2.       ¿Es suficiente el número de trabajadores para el cumplimiento de las actividades diarias de la empresa?</c:v>
                </c:pt>
                <c:pt idx="2">
                  <c:v>3.       ¿Cuenta con reemplazos en los momentos de ausencia prolongada de algún trabajador?</c:v>
                </c:pt>
                <c:pt idx="3">
                  <c:v>4.       ¿La Unidad Productiva se encuentra bancarizada para la gestión de ventas?</c:v>
                </c:pt>
                <c:pt idx="4">
                  <c:v>5.       ¿El emprendedor cuenta con la asignación de salario?</c:v>
                </c:pt>
                <c:pt idx="5">
                  <c:v>6.       ¿El emprendedor y sus empleados (si aplica) se encuentran afiliados a un sistema de seguridad social contributivo?</c:v>
                </c:pt>
                <c:pt idx="6">
                  <c:v>7.       ¿Tiene una estructura organizacional definida e implementada? (Organigrama, manual de funciones y definición de perfiles)</c:v>
                </c:pt>
                <c:pt idx="7">
                  <c:v>8.       Seguridad y Salud en el trabajo: ¿Identifica y utiliza apropiadamente los elementos de protección personal y la Unidad Productiva está señalizada? </c:v>
                </c:pt>
                <c:pt idx="8">
                  <c:v>9.       ¿Su unidad productiva ha implmentado herramientas de innovación para mejorar competitivamente?</c:v>
                </c:pt>
                <c:pt idx="9">
                  <c:v>10.   ¿Conoce los permisos y licencias que requiere el funcionamiento de su unidad productiva, además, está comprometida con el cuidado y preservación del medio ambiente? </c:v>
                </c:pt>
              </c:strCache>
            </c:strRef>
          </c:cat>
          <c:val>
            <c:numRef>
              <c:f>Diagnóstico!$D$11:$D$20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C-6334-41A8-B7C1-403258EF91F4}"/>
            </c:ext>
          </c:extLst>
        </c:ser>
        <c:dLbls>
          <c:showLegendKey val="0"/>
          <c:showVal val="0"/>
          <c:showCatName val="0"/>
          <c:showSerName val="0"/>
          <c:showPercent val="0"/>
          <c:showBubbleSize val="0"/>
        </c:dLbls>
        <c:axId val="953420160"/>
        <c:axId val="605653872"/>
      </c:radarChart>
      <c:catAx>
        <c:axId val="953420160"/>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5653872"/>
        <c:crosses val="autoZero"/>
        <c:auto val="1"/>
        <c:lblAlgn val="ctr"/>
        <c:lblOffset val="100"/>
        <c:noMultiLvlLbl val="0"/>
      </c:catAx>
      <c:valAx>
        <c:axId val="605653872"/>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3420160"/>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solidFill>
      <a:prstDash val="solid"/>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s-ES" sz="1800">
                <a:solidFill>
                  <a:sysClr val="windowText" lastClr="000000"/>
                </a:solidFill>
              </a:rPr>
              <a:t>Legal</a:t>
            </a:r>
            <a:r>
              <a:rPr lang="es-ES" sz="1800" baseline="0">
                <a:solidFill>
                  <a:sysClr val="windowText" lastClr="000000"/>
                </a:solidFill>
              </a:rPr>
              <a:t> y Administrativa</a:t>
            </a:r>
            <a:endParaRPr lang="es-ES" sz="1800">
              <a:solidFill>
                <a:sysClr val="windowText" lastClr="000000"/>
              </a:solidFill>
            </a:endParaRPr>
          </a:p>
        </c:rich>
      </c:tx>
      <c:layout>
        <c:manualLayout>
          <c:xMode val="edge"/>
          <c:yMode val="edge"/>
          <c:x val="0.38405423917853226"/>
          <c:y val="2.6922482642886013E-2"/>
        </c:manualLayout>
      </c:layout>
      <c:overlay val="0"/>
      <c:spPr>
        <a:noFill/>
        <a:ln>
          <a:noFill/>
        </a:ln>
        <a:effectLst/>
      </c:spPr>
    </c:title>
    <c:autoTitleDeleted val="0"/>
    <c:plotArea>
      <c:layout/>
      <c:barChart>
        <c:barDir val="bar"/>
        <c:grouping val="clustered"/>
        <c:varyColors val="0"/>
        <c:ser>
          <c:idx val="1"/>
          <c:order val="0"/>
          <c:spPr>
            <a:solidFill>
              <a:schemeClr val="accent1"/>
            </a:solidFill>
            <a:ln w="25400">
              <a:noFill/>
            </a:ln>
          </c:spPr>
          <c:invertIfNegative val="0"/>
          <c:cat>
            <c:strRef>
              <c:f>Diagnóstico!$A$11:$A$20</c:f>
              <c:strCache>
                <c:ptCount val="10"/>
                <c:pt idx="0">
                  <c:v>1.  ¿Para la planeación estratégica y fijación de objetivos se tiene en cuenta al cliente interno y las tendencias del mercado?</c:v>
                </c:pt>
                <c:pt idx="1">
                  <c:v>2.       ¿Es suficiente el número de trabajadores para el cumplimiento de las actividades diarias de la empresa?</c:v>
                </c:pt>
                <c:pt idx="2">
                  <c:v>3.       ¿Cuenta con reemplazos en los momentos de ausencia prolongada de algún trabajador?</c:v>
                </c:pt>
                <c:pt idx="3">
                  <c:v>4.       ¿La Unidad Productiva se encuentra bancarizada para la gestión de ventas?</c:v>
                </c:pt>
                <c:pt idx="4">
                  <c:v>5.       ¿El emprendedor cuenta con la asignación de salario?</c:v>
                </c:pt>
                <c:pt idx="5">
                  <c:v>6.       ¿El emprendedor y sus empleados (si aplica) se encuentran afiliados a un sistema de seguridad social contributivo?</c:v>
                </c:pt>
                <c:pt idx="6">
                  <c:v>7.       ¿Tiene una estructura organizacional definida e implementada? (Organigrama, manual de funciones y definición de perfiles)</c:v>
                </c:pt>
                <c:pt idx="7">
                  <c:v>8.       Seguridad y Salud en el trabajo: ¿Identifica y utiliza apropiadamente los elementos de protección personal y la Unidad Productiva está señalizada? </c:v>
                </c:pt>
                <c:pt idx="8">
                  <c:v>9.       ¿Su unidad productiva ha implmentado herramientas de innovación para mejorar competitivamente?</c:v>
                </c:pt>
                <c:pt idx="9">
                  <c:v>10.   ¿Conoce los permisos y licencias que requiere el funcionamiento de su unidad productiva, además, está comprometida con el cuidado y preservación del medio ambiente? </c:v>
                </c:pt>
              </c:strCache>
            </c:strRef>
          </c:cat>
          <c:val>
            <c:numRef>
              <c:f>Diagnóstico!$B$11:$B$20</c:f>
              <c:numCache>
                <c:formatCode>General</c:formatCode>
                <c:ptCount val="10"/>
              </c:numCache>
            </c:numRef>
          </c:val>
          <c:extLst>
            <c:ext xmlns:c16="http://schemas.microsoft.com/office/drawing/2014/chart" uri="{C3380CC4-5D6E-409C-BE32-E72D297353CC}">
              <c16:uniqueId val="{00000000-FF33-4386-A2CC-BA097B1F80E5}"/>
            </c:ext>
          </c:extLst>
        </c:ser>
        <c:dLbls>
          <c:showLegendKey val="0"/>
          <c:showVal val="0"/>
          <c:showCatName val="0"/>
          <c:showSerName val="0"/>
          <c:showPercent val="0"/>
          <c:showBubbleSize val="0"/>
        </c:dLbls>
        <c:gapWidth val="150"/>
        <c:axId val="953420160"/>
        <c:axId val="605653872"/>
      </c:barChart>
      <c:catAx>
        <c:axId val="95342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5653872"/>
        <c:crosses val="autoZero"/>
        <c:auto val="1"/>
        <c:lblAlgn val="ctr"/>
        <c:lblOffset val="100"/>
        <c:noMultiLvlLbl val="0"/>
      </c:catAx>
      <c:valAx>
        <c:axId val="605653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3420160"/>
        <c:crosses val="autoZero"/>
        <c:crossBetween val="between"/>
      </c:valAx>
    </c:plotArea>
    <c:plotVisOnly val="1"/>
    <c:dispBlanksAs val="gap"/>
    <c:showDLblsOverMax val="0"/>
    <c:extLst/>
  </c:chart>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s-ES" sz="1800">
                <a:solidFill>
                  <a:sysClr val="windowText" lastClr="000000"/>
                </a:solidFill>
              </a:rPr>
              <a:t>Comercial</a:t>
            </a:r>
          </a:p>
        </c:rich>
      </c:tx>
      <c:layout>
        <c:manualLayout>
          <c:xMode val="edge"/>
          <c:yMode val="edge"/>
          <c:x val="0.44717972031787023"/>
          <c:y val="2.69224826428860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s-CO"/>
        </a:p>
      </c:txPr>
    </c:title>
    <c:autoTitleDeleted val="0"/>
    <c:plotArea>
      <c:layout/>
      <c:radarChart>
        <c:radarStyle val="marker"/>
        <c:varyColors val="0"/>
        <c:ser>
          <c:idx val="1"/>
          <c:order val="0"/>
          <c:spPr>
            <a:ln w="19050" cap="rnd" cmpd="sng" algn="ctr">
              <a:solidFill>
                <a:schemeClr val="tx1"/>
              </a:solidFill>
              <a:prstDash val="solid"/>
              <a:round/>
            </a:ln>
            <a:effectLst/>
          </c:spPr>
          <c:marker>
            <c:spPr>
              <a:solidFill>
                <a:schemeClr val="dk1">
                  <a:tint val="55000"/>
                </a:schemeClr>
              </a:solidFill>
              <a:ln w="6350" cap="flat" cmpd="sng" algn="ctr">
                <a:solidFill>
                  <a:schemeClr val="dk1">
                    <a:tint val="55000"/>
                  </a:schemeClr>
                </a:solidFill>
                <a:prstDash val="solid"/>
                <a:round/>
              </a:ln>
              <a:effectLst/>
            </c:spPr>
          </c:marker>
          <c:cat>
            <c:strRef>
              <c:f>Diagnóstico!$A$23:$C$32</c:f>
              <c:strCache>
                <c:ptCount val="10"/>
                <c:pt idx="0">
                  <c:v>1.       ¿Qué productos o servicios ofrece la unidad productiva al mercado? (Todos)</c:v>
                </c:pt>
                <c:pt idx="1">
                  <c:v>2.       ¿Conoce la participación de cada producto / servicio en el total de ventas de la empresa?</c:v>
                </c:pt>
                <c:pt idx="2">
                  <c:v>3.       ¿En qué se fundamenta para hacer cambios en los productos o servicios?</c:v>
                </c:pt>
                <c:pt idx="3">
                  <c:v>4.       ¿Cómo define el componente diferenciador de su producto o servicio frente a la competencia?</c:v>
                </c:pt>
                <c:pt idx="4">
                  <c:v>5.       ¿Tiene identificado y caracterizado a su cliente objetivo y potencial?</c:v>
                </c:pt>
                <c:pt idx="5">
                  <c:v>6.       ¿Investiga tendencias del sector y de su producto o servicio a nivel nacional e internacional?</c:v>
                </c:pt>
                <c:pt idx="6">
                  <c:v>7.       ¿Su unidad productiva tiene en cuenta en sus procesos las características / análisis de la competencia? (Precio, calidad, fortalezas, debilidades)</c:v>
                </c:pt>
                <c:pt idx="7">
                  <c:v>8.       ¿Tiene meta en ventas mensuales, hace seguimiento a su cumplimiento?</c:v>
                </c:pt>
                <c:pt idx="8">
                  <c:v>9.       ¿Cuenta con un catálogo o portafolio de productos / servicios?</c:v>
                </c:pt>
                <c:pt idx="9">
                  <c:v>10.   ¿Cuenta con un plan de fidelización para los clientes?</c:v>
                </c:pt>
              </c:strCache>
            </c:strRef>
          </c:cat>
          <c:val>
            <c:numRef>
              <c:f>Diagnóstico!$D$23:$D$32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D34-4864-8E03-A662C7E0EB06}"/>
            </c:ext>
          </c:extLst>
        </c:ser>
        <c:dLbls>
          <c:showLegendKey val="0"/>
          <c:showVal val="0"/>
          <c:showCatName val="0"/>
          <c:showSerName val="0"/>
          <c:showPercent val="0"/>
          <c:showBubbleSize val="0"/>
        </c:dLbls>
        <c:axId val="953420160"/>
        <c:axId val="605653872"/>
      </c:radarChart>
      <c:catAx>
        <c:axId val="953420160"/>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5653872"/>
        <c:crosses val="autoZero"/>
        <c:auto val="1"/>
        <c:lblAlgn val="ctr"/>
        <c:lblOffset val="100"/>
        <c:noMultiLvlLbl val="0"/>
      </c:catAx>
      <c:valAx>
        <c:axId val="605653872"/>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3420160"/>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s-ES" sz="1800" baseline="0">
                <a:solidFill>
                  <a:sysClr val="windowText" lastClr="000000"/>
                </a:solidFill>
              </a:rPr>
              <a:t>Comercial</a:t>
            </a:r>
            <a:endParaRPr lang="es-ES" sz="1800">
              <a:solidFill>
                <a:sysClr val="windowText" lastClr="000000"/>
              </a:solidFill>
            </a:endParaRPr>
          </a:p>
        </c:rich>
      </c:tx>
      <c:layout>
        <c:manualLayout>
          <c:xMode val="edge"/>
          <c:yMode val="edge"/>
          <c:x val="0.43948149091063388"/>
          <c:y val="2.69224826428860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s-CO"/>
        </a:p>
      </c:txPr>
    </c:title>
    <c:autoTitleDeleted val="0"/>
    <c:plotArea>
      <c:layout/>
      <c:barChart>
        <c:barDir val="bar"/>
        <c:grouping val="clustered"/>
        <c:varyColors val="0"/>
        <c:ser>
          <c:idx val="1"/>
          <c:order val="0"/>
          <c:spPr>
            <a:solidFill>
              <a:schemeClr val="accent1"/>
            </a:solidFill>
            <a:ln>
              <a:noFill/>
            </a:ln>
            <a:effectLst/>
          </c:spPr>
          <c:invertIfNegative val="0"/>
          <c:cat>
            <c:strRef>
              <c:f>Diagnóstico!$A$23:$A$32</c:f>
              <c:strCache>
                <c:ptCount val="10"/>
                <c:pt idx="0">
                  <c:v>1.       ¿Qué productos o servicios ofrece la unidad productiva al mercado? (Todos)</c:v>
                </c:pt>
                <c:pt idx="1">
                  <c:v>2.       ¿Conoce la participación de cada producto / servicio en el total de ventas de la empresa?</c:v>
                </c:pt>
                <c:pt idx="2">
                  <c:v>3.       ¿En qué se fundamenta para hacer cambios en los productos o servicios?</c:v>
                </c:pt>
                <c:pt idx="3">
                  <c:v>4.       ¿Cómo define el componente diferenciador de su producto o servicio frente a la competencia?</c:v>
                </c:pt>
                <c:pt idx="4">
                  <c:v>5.       ¿Tiene identificado y caracterizado a su cliente objetivo y potencial?</c:v>
                </c:pt>
                <c:pt idx="5">
                  <c:v>6.       ¿Investiga tendencias del sector y de su producto o servicio a nivel nacional e internacional?</c:v>
                </c:pt>
                <c:pt idx="6">
                  <c:v>7.       ¿Su unidad productiva tiene en cuenta en sus procesos las características / análisis de la competencia? (Precio, calidad, fortalezas, debilidades)</c:v>
                </c:pt>
                <c:pt idx="7">
                  <c:v>8.       ¿Tiene meta en ventas mensuales, hace seguimiento a su cumplimiento?</c:v>
                </c:pt>
                <c:pt idx="8">
                  <c:v>9.       ¿Cuenta con un catálogo o portafolio de productos / servicios?</c:v>
                </c:pt>
                <c:pt idx="9">
                  <c:v>10.   ¿Cuenta con un plan de fidelización para los clientes?</c:v>
                </c:pt>
              </c:strCache>
            </c:strRef>
          </c:cat>
          <c:val>
            <c:numRef>
              <c:f>Diagnóstico!$B$23:$B$32</c:f>
              <c:numCache>
                <c:formatCode>General</c:formatCode>
                <c:ptCount val="10"/>
              </c:numCache>
            </c:numRef>
          </c:val>
          <c:extLst>
            <c:ext xmlns:c16="http://schemas.microsoft.com/office/drawing/2014/chart" uri="{C3380CC4-5D6E-409C-BE32-E72D297353CC}">
              <c16:uniqueId val="{00000000-23D2-49CB-9A86-B2B9BDE2D864}"/>
            </c:ext>
          </c:extLst>
        </c:ser>
        <c:dLbls>
          <c:showLegendKey val="0"/>
          <c:showVal val="0"/>
          <c:showCatName val="0"/>
          <c:showSerName val="0"/>
          <c:showPercent val="0"/>
          <c:showBubbleSize val="0"/>
        </c:dLbls>
        <c:gapWidth val="150"/>
        <c:axId val="953420160"/>
        <c:axId val="605653872"/>
      </c:barChart>
      <c:catAx>
        <c:axId val="95342016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5653872"/>
        <c:crosses val="autoZero"/>
        <c:auto val="1"/>
        <c:lblAlgn val="ctr"/>
        <c:lblOffset val="100"/>
        <c:noMultiLvlLbl val="0"/>
      </c:catAx>
      <c:valAx>
        <c:axId val="605653872"/>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3420160"/>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s-ES" sz="1800">
                <a:solidFill>
                  <a:sysClr val="windowText" lastClr="000000"/>
                </a:solidFill>
              </a:rPr>
              <a:t>Técnica</a:t>
            </a:r>
            <a:r>
              <a:rPr lang="es-ES" sz="1800" baseline="0">
                <a:solidFill>
                  <a:sysClr val="windowText" lastClr="000000"/>
                </a:solidFill>
              </a:rPr>
              <a:t> - Operativa</a:t>
            </a:r>
            <a:endParaRPr lang="es-ES" sz="1800">
              <a:solidFill>
                <a:sysClr val="windowText" lastClr="000000"/>
              </a:solidFill>
            </a:endParaRPr>
          </a:p>
        </c:rich>
      </c:tx>
      <c:layout>
        <c:manualLayout>
          <c:xMode val="edge"/>
          <c:yMode val="edge"/>
          <c:x val="0.37173707212695412"/>
          <c:y val="2.952157296127458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s-CO"/>
        </a:p>
      </c:txPr>
    </c:title>
    <c:autoTitleDeleted val="0"/>
    <c:plotArea>
      <c:layout/>
      <c:radarChart>
        <c:radarStyle val="marker"/>
        <c:varyColors val="0"/>
        <c:ser>
          <c:idx val="1"/>
          <c:order val="0"/>
          <c:spPr>
            <a:ln w="19050" cap="rnd" cmpd="sng" algn="ctr">
              <a:solidFill>
                <a:schemeClr val="tx1"/>
              </a:solidFill>
              <a:prstDash val="solid"/>
              <a:round/>
            </a:ln>
            <a:effectLst/>
          </c:spPr>
          <c:marker>
            <c:spPr>
              <a:solidFill>
                <a:schemeClr val="dk1">
                  <a:tint val="55000"/>
                </a:schemeClr>
              </a:solidFill>
              <a:ln w="6350" cap="flat" cmpd="sng" algn="ctr">
                <a:solidFill>
                  <a:schemeClr val="dk1">
                    <a:tint val="55000"/>
                  </a:schemeClr>
                </a:solidFill>
                <a:prstDash val="solid"/>
                <a:round/>
              </a:ln>
              <a:effectLst/>
            </c:spPr>
          </c:marker>
          <c:cat>
            <c:strRef>
              <c:f>Diagnóstico!$A$35:$C$44</c:f>
              <c:strCache>
                <c:ptCount val="10"/>
                <c:pt idx="0">
                  <c:v>1.       ¿Identifica y cuantifica los riesgos de producción en los procesos que realiza la unidad productiva?</c:v>
                </c:pt>
                <c:pt idx="1">
                  <c:v>2.       ¿Existen fichas técnicas de las maquinas, equipos, productos / servicios de la unidad productiva?</c:v>
                </c:pt>
                <c:pt idx="2">
                  <c:v>3.       ¿Es la infraestructura física adecuada para el desarrollo de la actividad económica?</c:v>
                </c:pt>
                <c:pt idx="3">
                  <c:v>4.       ¿Los puestos de trabajo y maquinaria están distribuidos para optimizar los tiempos de cada proceso al interior de la empresa?</c:v>
                </c:pt>
                <c:pt idx="4">
                  <c:v>5.       ¿Ha querido replicar en su unidad productiva algún avance que su competencia realizó?</c:v>
                </c:pt>
                <c:pt idx="5">
                  <c:v>6.       ¿Cuál es el manejo que se le da a los residuos que genera la empresa?</c:v>
                </c:pt>
                <c:pt idx="6">
                  <c:v>7.       ¿El proceso de producción y/o prestación del servicio está definido? (etapas, actividades, tareas, tiempos, cantidades y puntos de control).</c:v>
                </c:pt>
                <c:pt idx="7">
                  <c:v>8.       ¿El producto es flexible y se puede adaptar rápidamente a las tendencias del mercado?</c:v>
                </c:pt>
                <c:pt idx="8">
                  <c:v>9.       ¿Realiza control de calidad a su producto o servicio?, ¿Cada cuánto?</c:v>
                </c:pt>
                <c:pt idx="9">
                  <c:v>10.   ¿ Planea las compras de materia prima, insumos y, además, cuenta con un proceso de control de inventarios?</c:v>
                </c:pt>
              </c:strCache>
            </c:strRef>
          </c:cat>
          <c:val>
            <c:numRef>
              <c:f>Diagnóstico!$D$35:$D$44</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90B-48D8-9BA1-C4747212474A}"/>
            </c:ext>
          </c:extLst>
        </c:ser>
        <c:dLbls>
          <c:showLegendKey val="0"/>
          <c:showVal val="0"/>
          <c:showCatName val="0"/>
          <c:showSerName val="0"/>
          <c:showPercent val="0"/>
          <c:showBubbleSize val="0"/>
        </c:dLbls>
        <c:axId val="953420160"/>
        <c:axId val="605653872"/>
      </c:radarChart>
      <c:catAx>
        <c:axId val="953420160"/>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5653872"/>
        <c:crosses val="autoZero"/>
        <c:auto val="1"/>
        <c:lblAlgn val="ctr"/>
        <c:lblOffset val="100"/>
        <c:noMultiLvlLbl val="0"/>
      </c:catAx>
      <c:valAx>
        <c:axId val="605653872"/>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3420160"/>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s-ES" sz="1800" b="0" i="0" baseline="0">
                <a:solidFill>
                  <a:sysClr val="windowText" lastClr="000000"/>
                </a:solidFill>
                <a:effectLst/>
              </a:rPr>
              <a:t>Técnica - Operativa</a:t>
            </a:r>
            <a:endParaRPr lang="es-ES">
              <a:solidFill>
                <a:sysClr val="windowText" lastClr="000000"/>
              </a:solidFill>
              <a:effectLst/>
            </a:endParaRPr>
          </a:p>
        </c:rich>
      </c:tx>
      <c:layout>
        <c:manualLayout>
          <c:xMode val="edge"/>
          <c:yMode val="edge"/>
          <c:x val="0.42870396974050301"/>
          <c:y val="2.69224826428860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s-CO"/>
        </a:p>
      </c:txPr>
    </c:title>
    <c:autoTitleDeleted val="0"/>
    <c:plotArea>
      <c:layout/>
      <c:barChart>
        <c:barDir val="bar"/>
        <c:grouping val="clustered"/>
        <c:varyColors val="0"/>
        <c:ser>
          <c:idx val="1"/>
          <c:order val="0"/>
          <c:spPr>
            <a:solidFill>
              <a:schemeClr val="accent1"/>
            </a:solidFill>
            <a:ln>
              <a:noFill/>
            </a:ln>
            <a:effectLst/>
          </c:spPr>
          <c:invertIfNegative val="0"/>
          <c:cat>
            <c:strRef>
              <c:f>Diagnóstico!$A$35:$A$44</c:f>
              <c:strCache>
                <c:ptCount val="10"/>
                <c:pt idx="0">
                  <c:v>1.       ¿Identifica y cuantifica los riesgos de producción en los procesos que realiza la unidad productiva?</c:v>
                </c:pt>
                <c:pt idx="1">
                  <c:v>2.       ¿Existen fichas técnicas de las maquinas, equipos, productos / servicios de la unidad productiva?</c:v>
                </c:pt>
                <c:pt idx="2">
                  <c:v>3.       ¿Es la infraestructura física adecuada para el desarrollo de la actividad económica?</c:v>
                </c:pt>
                <c:pt idx="3">
                  <c:v>4.       ¿Los puestos de trabajo y maquinaria están distribuidos para optimizar los tiempos de cada proceso al interior de la empresa?</c:v>
                </c:pt>
                <c:pt idx="4">
                  <c:v>5.       ¿Ha querido replicar en su unidad productiva algún avance que su competencia realizó?</c:v>
                </c:pt>
                <c:pt idx="5">
                  <c:v>6.       ¿Cuál es el manejo que se le da a los residuos que genera la empresa?</c:v>
                </c:pt>
                <c:pt idx="6">
                  <c:v>7.       ¿El proceso de producción y/o prestación del servicio está definido? (etapas, actividades, tareas, tiempos, cantidades y puntos de control).</c:v>
                </c:pt>
                <c:pt idx="7">
                  <c:v>8.       ¿El producto es flexible y se puede adaptar rápidamente a las tendencias del mercado?</c:v>
                </c:pt>
                <c:pt idx="8">
                  <c:v>9.       ¿Realiza control de calidad a su producto o servicio?, ¿Cada cuánto?</c:v>
                </c:pt>
                <c:pt idx="9">
                  <c:v>10.   ¿ Planea las compras de materia prima, insumos y, además, cuenta con un proceso de control de inventarios?</c:v>
                </c:pt>
              </c:strCache>
            </c:strRef>
          </c:cat>
          <c:val>
            <c:numRef>
              <c:f>Diagnóstico!$B$35:$B$44</c:f>
              <c:numCache>
                <c:formatCode>General</c:formatCode>
                <c:ptCount val="10"/>
              </c:numCache>
            </c:numRef>
          </c:val>
          <c:extLst>
            <c:ext xmlns:c16="http://schemas.microsoft.com/office/drawing/2014/chart" uri="{C3380CC4-5D6E-409C-BE32-E72D297353CC}">
              <c16:uniqueId val="{00000000-7580-45F0-BE45-26F72A444A4D}"/>
            </c:ext>
          </c:extLst>
        </c:ser>
        <c:dLbls>
          <c:showLegendKey val="0"/>
          <c:showVal val="0"/>
          <c:showCatName val="0"/>
          <c:showSerName val="0"/>
          <c:showPercent val="0"/>
          <c:showBubbleSize val="0"/>
        </c:dLbls>
        <c:gapWidth val="150"/>
        <c:axId val="953420160"/>
        <c:axId val="605653872"/>
      </c:barChart>
      <c:catAx>
        <c:axId val="95342016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5653872"/>
        <c:crosses val="autoZero"/>
        <c:auto val="1"/>
        <c:lblAlgn val="ctr"/>
        <c:lblOffset val="100"/>
        <c:noMultiLvlLbl val="0"/>
      </c:catAx>
      <c:valAx>
        <c:axId val="605653872"/>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3420160"/>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s-ES" sz="1800">
                <a:solidFill>
                  <a:sysClr val="windowText" lastClr="000000"/>
                </a:solidFill>
              </a:rPr>
              <a:t>Financiera y Contable</a:t>
            </a:r>
          </a:p>
        </c:rich>
      </c:tx>
      <c:layout>
        <c:manualLayout>
          <c:xMode val="edge"/>
          <c:yMode val="edge"/>
          <c:x val="0.37173707212695412"/>
          <c:y val="3.471975359805170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s-CO"/>
        </a:p>
      </c:txPr>
    </c:title>
    <c:autoTitleDeleted val="0"/>
    <c:plotArea>
      <c:layout/>
      <c:radarChart>
        <c:radarStyle val="marker"/>
        <c:varyColors val="0"/>
        <c:ser>
          <c:idx val="1"/>
          <c:order val="0"/>
          <c:spPr>
            <a:ln w="19050" cap="rnd" cmpd="sng" algn="ctr">
              <a:solidFill>
                <a:schemeClr val="tx1"/>
              </a:solidFill>
              <a:prstDash val="solid"/>
              <a:round/>
            </a:ln>
            <a:effectLst/>
          </c:spPr>
          <c:marker>
            <c:spPr>
              <a:solidFill>
                <a:schemeClr val="dk1">
                  <a:tint val="55000"/>
                </a:schemeClr>
              </a:solidFill>
              <a:ln w="6350" cap="flat" cmpd="sng" algn="ctr">
                <a:solidFill>
                  <a:schemeClr val="dk1">
                    <a:tint val="55000"/>
                  </a:schemeClr>
                </a:solidFill>
                <a:prstDash val="solid"/>
                <a:round/>
              </a:ln>
              <a:effectLst/>
            </c:spPr>
          </c:marker>
          <c:cat>
            <c:strRef>
              <c:f>Diagnóstico!$A$47:$C$56</c:f>
              <c:strCache>
                <c:ptCount val="10"/>
                <c:pt idx="0">
                  <c:v>1.       ¿Existe separación de los gastos personales a los gastos del negocio?</c:v>
                </c:pt>
                <c:pt idx="1">
                  <c:v>2.       ¿Cuenta con un proceso definido para la fijación del precio de sus productos / servicios?</c:v>
                </c:pt>
                <c:pt idx="2">
                  <c:v>3.       ¿Conoce su margen de rentabilidad?</c:v>
                </c:pt>
                <c:pt idx="3">
                  <c:v>4.       ¿Identifica si la empresa está generando utilidad?</c:v>
                </c:pt>
                <c:pt idx="4">
                  <c:v>5.       ¿Se tiene identificado las fluctuaciones en la demanda por temporadas o variaciones del mercado?</c:v>
                </c:pt>
                <c:pt idx="5">
                  <c:v>6.       Registros Ingresos: ¿Lleva registro de cuentas de: ventas, cuentas por cobrar, capital de trabajo?</c:v>
                </c:pt>
                <c:pt idx="6">
                  <c:v>7.       Registros contables: ¿Lleva registro de cuentas de: compras, gastos, cuentas por pagar, proveedores?</c:v>
                </c:pt>
                <c:pt idx="7">
                  <c:v>8.       Plan Financiero: ¿Sabe cuánto le cuesta producir su bien o servicio? (Costos variables)</c:v>
                </c:pt>
                <c:pt idx="8">
                  <c:v>9.       ¿Reinvierte ganancias para el mejoramiento de su unidad productiva?</c:v>
                </c:pt>
                <c:pt idx="9">
                  <c:v>10.   ¿Identifica y da cumplimimento a las normas tributarias y contables? </c:v>
                </c:pt>
              </c:strCache>
            </c:strRef>
          </c:cat>
          <c:val>
            <c:numRef>
              <c:f>Diagnóstico!$D$47:$D$56</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0A0D-4C02-B6DB-AE756D484FFC}"/>
            </c:ext>
          </c:extLst>
        </c:ser>
        <c:dLbls>
          <c:showLegendKey val="0"/>
          <c:showVal val="0"/>
          <c:showCatName val="0"/>
          <c:showSerName val="0"/>
          <c:showPercent val="0"/>
          <c:showBubbleSize val="0"/>
        </c:dLbls>
        <c:axId val="953420160"/>
        <c:axId val="605653872"/>
      </c:radarChart>
      <c:catAx>
        <c:axId val="953420160"/>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5653872"/>
        <c:crosses val="autoZero"/>
        <c:auto val="1"/>
        <c:lblAlgn val="ctr"/>
        <c:lblOffset val="100"/>
        <c:noMultiLvlLbl val="0"/>
      </c:catAx>
      <c:valAx>
        <c:axId val="605653872"/>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3420160"/>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s-ES" sz="1800" b="0" i="0" baseline="0">
                <a:solidFill>
                  <a:sysClr val="windowText" lastClr="000000"/>
                </a:solidFill>
                <a:effectLst/>
              </a:rPr>
              <a:t>Financiera y Contable</a:t>
            </a:r>
            <a:endParaRPr lang="es-ES">
              <a:solidFill>
                <a:sysClr val="windowText" lastClr="000000"/>
              </a:solidFill>
              <a:effectLst/>
            </a:endParaRPr>
          </a:p>
        </c:rich>
      </c:tx>
      <c:layout>
        <c:manualLayout>
          <c:xMode val="edge"/>
          <c:yMode val="edge"/>
          <c:x val="0.37943530153419042"/>
          <c:y val="2.69224826428860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s-CO"/>
        </a:p>
      </c:txPr>
    </c:title>
    <c:autoTitleDeleted val="0"/>
    <c:plotArea>
      <c:layout/>
      <c:barChart>
        <c:barDir val="bar"/>
        <c:grouping val="clustered"/>
        <c:varyColors val="0"/>
        <c:ser>
          <c:idx val="1"/>
          <c:order val="0"/>
          <c:spPr>
            <a:solidFill>
              <a:schemeClr val="accent1"/>
            </a:solidFill>
            <a:ln>
              <a:noFill/>
            </a:ln>
            <a:effectLst/>
          </c:spPr>
          <c:invertIfNegative val="0"/>
          <c:cat>
            <c:strRef>
              <c:f>Diagnóstico!$A$47:$A$56</c:f>
              <c:strCache>
                <c:ptCount val="10"/>
                <c:pt idx="0">
                  <c:v>1.       ¿Existe separación de los gastos personales a los gastos del negocio?</c:v>
                </c:pt>
                <c:pt idx="1">
                  <c:v>2.       ¿Cuenta con un proceso definido para la fijación del precio de sus productos / servicios?</c:v>
                </c:pt>
                <c:pt idx="2">
                  <c:v>3.       ¿Conoce su margen de rentabilidad?</c:v>
                </c:pt>
                <c:pt idx="3">
                  <c:v>4.       ¿Identifica si la empresa está generando utilidad?</c:v>
                </c:pt>
                <c:pt idx="4">
                  <c:v>5.       ¿Se tiene identificado las fluctuaciones en la demanda por temporadas o variaciones del mercado?</c:v>
                </c:pt>
                <c:pt idx="5">
                  <c:v>6.       Registros Ingresos: ¿Lleva registro de cuentas de: ventas, cuentas por cobrar, capital de trabajo?</c:v>
                </c:pt>
                <c:pt idx="6">
                  <c:v>7.       Registros contables: ¿Lleva registro de cuentas de: compras, gastos, cuentas por pagar, proveedores?</c:v>
                </c:pt>
                <c:pt idx="7">
                  <c:v>8.       Plan Financiero: ¿Sabe cuánto le cuesta producir su bien o servicio? (Costos variables)</c:v>
                </c:pt>
                <c:pt idx="8">
                  <c:v>9.       ¿Reinvierte ganancias para el mejoramiento de su unidad productiva?</c:v>
                </c:pt>
                <c:pt idx="9">
                  <c:v>10.   ¿Identifica y da cumplimimento a las normas tributarias y contables? </c:v>
                </c:pt>
              </c:strCache>
            </c:strRef>
          </c:cat>
          <c:val>
            <c:numRef>
              <c:f>Diagnóstico!$B$47:$B$56</c:f>
              <c:numCache>
                <c:formatCode>General</c:formatCode>
                <c:ptCount val="10"/>
              </c:numCache>
            </c:numRef>
          </c:val>
          <c:extLst>
            <c:ext xmlns:c16="http://schemas.microsoft.com/office/drawing/2014/chart" uri="{C3380CC4-5D6E-409C-BE32-E72D297353CC}">
              <c16:uniqueId val="{00000000-8215-4BD0-8A72-B2E9A453B917}"/>
            </c:ext>
          </c:extLst>
        </c:ser>
        <c:dLbls>
          <c:showLegendKey val="0"/>
          <c:showVal val="0"/>
          <c:showCatName val="0"/>
          <c:showSerName val="0"/>
          <c:showPercent val="0"/>
          <c:showBubbleSize val="0"/>
        </c:dLbls>
        <c:gapWidth val="150"/>
        <c:axId val="953420160"/>
        <c:axId val="605653872"/>
      </c:barChart>
      <c:catAx>
        <c:axId val="95342016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5653872"/>
        <c:crosses val="autoZero"/>
        <c:auto val="1"/>
        <c:lblAlgn val="ctr"/>
        <c:lblOffset val="100"/>
        <c:noMultiLvlLbl val="0"/>
      </c:catAx>
      <c:valAx>
        <c:axId val="605653872"/>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3420160"/>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107157</xdr:colOff>
      <xdr:row>3</xdr:row>
      <xdr:rowOff>23813</xdr:rowOff>
    </xdr:from>
    <xdr:to>
      <xdr:col>0</xdr:col>
      <xdr:colOff>1690688</xdr:colOff>
      <xdr:row>3</xdr:row>
      <xdr:rowOff>661988</xdr:rowOff>
    </xdr:to>
    <xdr:pic>
      <xdr:nvPicPr>
        <xdr:cNvPr id="2" name="Imagen 1">
          <a:extLst>
            <a:ext uri="{FF2B5EF4-FFF2-40B4-BE49-F238E27FC236}">
              <a16:creationId xmlns:a16="http://schemas.microsoft.com/office/drawing/2014/main" id="{2AB6D1CE-DDA7-4BFD-A818-09085C904D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7" y="595313"/>
          <a:ext cx="1583531" cy="638175"/>
        </a:xfrm>
        <a:prstGeom prst="rect">
          <a:avLst/>
        </a:prstGeom>
        <a:noFill/>
        <a:ln>
          <a:noFill/>
        </a:ln>
      </xdr:spPr>
    </xdr:pic>
    <xdr:clientData/>
  </xdr:twoCellAnchor>
  <xdr:twoCellAnchor editAs="oneCell">
    <xdr:from>
      <xdr:col>5</xdr:col>
      <xdr:colOff>831022</xdr:colOff>
      <xdr:row>3</xdr:row>
      <xdr:rowOff>21433</xdr:rowOff>
    </xdr:from>
    <xdr:to>
      <xdr:col>6</xdr:col>
      <xdr:colOff>1164397</xdr:colOff>
      <xdr:row>3</xdr:row>
      <xdr:rowOff>659608</xdr:rowOff>
    </xdr:to>
    <xdr:pic>
      <xdr:nvPicPr>
        <xdr:cNvPr id="3" name="Imagen 2">
          <a:extLst>
            <a:ext uri="{FF2B5EF4-FFF2-40B4-BE49-F238E27FC236}">
              <a16:creationId xmlns:a16="http://schemas.microsoft.com/office/drawing/2014/main" id="{B7F89436-DFB5-4B9A-96AA-63B0B3B8AD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4897" y="592933"/>
          <a:ext cx="1583531" cy="6381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180975</xdr:rowOff>
    </xdr:from>
    <xdr:to>
      <xdr:col>0</xdr:col>
      <xdr:colOff>1428750</xdr:colOff>
      <xdr:row>2</xdr:row>
      <xdr:rowOff>120158</xdr:rowOff>
    </xdr:to>
    <xdr:pic>
      <xdr:nvPicPr>
        <xdr:cNvPr id="2" name="Imagen 1">
          <a:extLst>
            <a:ext uri="{FF2B5EF4-FFF2-40B4-BE49-F238E27FC236}">
              <a16:creationId xmlns:a16="http://schemas.microsoft.com/office/drawing/2014/main" id="{33FBC259-4B2C-4A03-A4C6-6727EA57CA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1" y="180975"/>
          <a:ext cx="1314449" cy="529733"/>
        </a:xfrm>
        <a:prstGeom prst="rect">
          <a:avLst/>
        </a:prstGeom>
        <a:noFill/>
        <a:ln>
          <a:noFill/>
        </a:ln>
      </xdr:spPr>
    </xdr:pic>
    <xdr:clientData/>
  </xdr:twoCellAnchor>
  <xdr:twoCellAnchor editAs="oneCell">
    <xdr:from>
      <xdr:col>2</xdr:col>
      <xdr:colOff>704851</xdr:colOff>
      <xdr:row>0</xdr:row>
      <xdr:rowOff>180975</xdr:rowOff>
    </xdr:from>
    <xdr:to>
      <xdr:col>3</xdr:col>
      <xdr:colOff>923925</xdr:colOff>
      <xdr:row>2</xdr:row>
      <xdr:rowOff>120158</xdr:rowOff>
    </xdr:to>
    <xdr:pic>
      <xdr:nvPicPr>
        <xdr:cNvPr id="3" name="Imagen 2">
          <a:extLst>
            <a:ext uri="{FF2B5EF4-FFF2-40B4-BE49-F238E27FC236}">
              <a16:creationId xmlns:a16="http://schemas.microsoft.com/office/drawing/2014/main" id="{847BE81F-55F8-4683-90FD-BD0A8E7C52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0051" y="180975"/>
          <a:ext cx="1314449" cy="52973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247650</xdr:colOff>
      <xdr:row>1</xdr:row>
      <xdr:rowOff>19050</xdr:rowOff>
    </xdr:from>
    <xdr:to>
      <xdr:col>1</xdr:col>
      <xdr:colOff>800099</xdr:colOff>
      <xdr:row>1</xdr:row>
      <xdr:rowOff>548783</xdr:rowOff>
    </xdr:to>
    <xdr:pic>
      <xdr:nvPicPr>
        <xdr:cNvPr id="2" name="Imagen 1">
          <a:extLst>
            <a:ext uri="{FF2B5EF4-FFF2-40B4-BE49-F238E27FC236}">
              <a16:creationId xmlns:a16="http://schemas.microsoft.com/office/drawing/2014/main" id="{AFC55E22-BEE3-4836-9CAE-F144A539BF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09550"/>
          <a:ext cx="1314449" cy="529733"/>
        </a:xfrm>
        <a:prstGeom prst="rect">
          <a:avLst/>
        </a:prstGeom>
        <a:noFill/>
        <a:ln>
          <a:noFill/>
        </a:ln>
      </xdr:spPr>
    </xdr:pic>
    <xdr:clientData/>
  </xdr:twoCellAnchor>
  <xdr:twoCellAnchor editAs="oneCell">
    <xdr:from>
      <xdr:col>6</xdr:col>
      <xdr:colOff>161925</xdr:colOff>
      <xdr:row>1</xdr:row>
      <xdr:rowOff>19050</xdr:rowOff>
    </xdr:from>
    <xdr:to>
      <xdr:col>7</xdr:col>
      <xdr:colOff>714374</xdr:colOff>
      <xdr:row>1</xdr:row>
      <xdr:rowOff>548783</xdr:rowOff>
    </xdr:to>
    <xdr:pic>
      <xdr:nvPicPr>
        <xdr:cNvPr id="3" name="Imagen 2">
          <a:extLst>
            <a:ext uri="{FF2B5EF4-FFF2-40B4-BE49-F238E27FC236}">
              <a16:creationId xmlns:a16="http://schemas.microsoft.com/office/drawing/2014/main" id="{FA5D36ED-56F9-4C28-AD52-C2910BCEFB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6625" y="209550"/>
          <a:ext cx="1314449" cy="529733"/>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95250</xdr:colOff>
      <xdr:row>4</xdr:row>
      <xdr:rowOff>161926</xdr:rowOff>
    </xdr:from>
    <xdr:to>
      <xdr:col>13</xdr:col>
      <xdr:colOff>9525</xdr:colOff>
      <xdr:row>30</xdr:row>
      <xdr:rowOff>38100</xdr:rowOff>
    </xdr:to>
    <xdr:graphicFrame macro="">
      <xdr:nvGraphicFramePr>
        <xdr:cNvPr id="2" name="Gráfico 1">
          <a:extLst>
            <a:ext uri="{FF2B5EF4-FFF2-40B4-BE49-F238E27FC236}">
              <a16:creationId xmlns:a16="http://schemas.microsoft.com/office/drawing/2014/main" id="{FD224EEB-6881-4E39-BE68-ECAE6B899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95250</xdr:colOff>
      <xdr:row>1</xdr:row>
      <xdr:rowOff>179916</xdr:rowOff>
    </xdr:from>
    <xdr:to>
      <xdr:col>1</xdr:col>
      <xdr:colOff>1409699</xdr:colOff>
      <xdr:row>3</xdr:row>
      <xdr:rowOff>116982</xdr:rowOff>
    </xdr:to>
    <xdr:pic>
      <xdr:nvPicPr>
        <xdr:cNvPr id="4" name="Imagen 3">
          <a:extLst>
            <a:ext uri="{FF2B5EF4-FFF2-40B4-BE49-F238E27FC236}">
              <a16:creationId xmlns:a16="http://schemas.microsoft.com/office/drawing/2014/main" id="{6FD21732-7916-4932-A957-FB9208D2D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0" y="370416"/>
          <a:ext cx="1314449" cy="529733"/>
        </a:xfrm>
        <a:prstGeom prst="rect">
          <a:avLst/>
        </a:prstGeom>
        <a:noFill/>
        <a:ln>
          <a:noFill/>
        </a:ln>
      </xdr:spPr>
    </xdr:pic>
    <xdr:clientData/>
  </xdr:twoCellAnchor>
  <xdr:twoCellAnchor editAs="oneCell">
    <xdr:from>
      <xdr:col>11</xdr:col>
      <xdr:colOff>78287</xdr:colOff>
      <xdr:row>1</xdr:row>
      <xdr:rowOff>184151</xdr:rowOff>
    </xdr:from>
    <xdr:to>
      <xdr:col>12</xdr:col>
      <xdr:colOff>630736</xdr:colOff>
      <xdr:row>3</xdr:row>
      <xdr:rowOff>121217</xdr:rowOff>
    </xdr:to>
    <xdr:pic>
      <xdr:nvPicPr>
        <xdr:cNvPr id="7" name="Imagen 6">
          <a:extLst>
            <a:ext uri="{FF2B5EF4-FFF2-40B4-BE49-F238E27FC236}">
              <a16:creationId xmlns:a16="http://schemas.microsoft.com/office/drawing/2014/main" id="{72D55640-B687-4C96-9273-E227C93C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23620" y="374651"/>
          <a:ext cx="1314449" cy="529733"/>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6</xdr:row>
      <xdr:rowOff>38100</xdr:rowOff>
    </xdr:from>
    <xdr:to>
      <xdr:col>11</xdr:col>
      <xdr:colOff>676275</xdr:colOff>
      <xdr:row>31</xdr:row>
      <xdr:rowOff>161925</xdr:rowOff>
    </xdr:to>
    <xdr:graphicFrame macro="">
      <xdr:nvGraphicFramePr>
        <xdr:cNvPr id="3" name="Gráfico 2">
          <a:extLst>
            <a:ext uri="{FF2B5EF4-FFF2-40B4-BE49-F238E27FC236}">
              <a16:creationId xmlns:a16="http://schemas.microsoft.com/office/drawing/2014/main" id="{31D28E76-1F87-4879-A60E-DB0A30BC4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67235</xdr:colOff>
      <xdr:row>6</xdr:row>
      <xdr:rowOff>38100</xdr:rowOff>
    </xdr:from>
    <xdr:to>
      <xdr:col>22</xdr:col>
      <xdr:colOff>695885</xdr:colOff>
      <xdr:row>31</xdr:row>
      <xdr:rowOff>161925</xdr:rowOff>
    </xdr:to>
    <xdr:graphicFrame macro="">
      <xdr:nvGraphicFramePr>
        <xdr:cNvPr id="4" name="Gráfico 3">
          <a:extLst>
            <a:ext uri="{FF2B5EF4-FFF2-40B4-BE49-F238E27FC236}">
              <a16:creationId xmlns:a16="http://schemas.microsoft.com/office/drawing/2014/main" id="{6627162D-54C9-49D1-9BFF-18890B322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33618</xdr:colOff>
      <xdr:row>34</xdr:row>
      <xdr:rowOff>44823</xdr:rowOff>
    </xdr:from>
    <xdr:to>
      <xdr:col>11</xdr:col>
      <xdr:colOff>662268</xdr:colOff>
      <xdr:row>59</xdr:row>
      <xdr:rowOff>168648</xdr:rowOff>
    </xdr:to>
    <xdr:graphicFrame macro="">
      <xdr:nvGraphicFramePr>
        <xdr:cNvPr id="5" name="Gráfico 4">
          <a:extLst>
            <a:ext uri="{FF2B5EF4-FFF2-40B4-BE49-F238E27FC236}">
              <a16:creationId xmlns:a16="http://schemas.microsoft.com/office/drawing/2014/main" id="{15230329-6619-40BD-8A95-8A261C6DF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109257</xdr:colOff>
      <xdr:row>34</xdr:row>
      <xdr:rowOff>33617</xdr:rowOff>
    </xdr:from>
    <xdr:to>
      <xdr:col>22</xdr:col>
      <xdr:colOff>737907</xdr:colOff>
      <xdr:row>59</xdr:row>
      <xdr:rowOff>157442</xdr:rowOff>
    </xdr:to>
    <xdr:graphicFrame macro="">
      <xdr:nvGraphicFramePr>
        <xdr:cNvPr id="6" name="Gráfico 5">
          <a:extLst>
            <a:ext uri="{FF2B5EF4-FFF2-40B4-BE49-F238E27FC236}">
              <a16:creationId xmlns:a16="http://schemas.microsoft.com/office/drawing/2014/main" id="{42A4B87D-5C0F-459C-89A2-91ED64128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56030</xdr:colOff>
      <xdr:row>62</xdr:row>
      <xdr:rowOff>22412</xdr:rowOff>
    </xdr:from>
    <xdr:to>
      <xdr:col>11</xdr:col>
      <xdr:colOff>684680</xdr:colOff>
      <xdr:row>87</xdr:row>
      <xdr:rowOff>146237</xdr:rowOff>
    </xdr:to>
    <xdr:graphicFrame macro="">
      <xdr:nvGraphicFramePr>
        <xdr:cNvPr id="7" name="Gráfico 6">
          <a:extLst>
            <a:ext uri="{FF2B5EF4-FFF2-40B4-BE49-F238E27FC236}">
              <a16:creationId xmlns:a16="http://schemas.microsoft.com/office/drawing/2014/main" id="{DE111D37-BAED-47A2-B2C7-25F135E38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131669</xdr:colOff>
      <xdr:row>62</xdr:row>
      <xdr:rowOff>22412</xdr:rowOff>
    </xdr:from>
    <xdr:to>
      <xdr:col>22</xdr:col>
      <xdr:colOff>760319</xdr:colOff>
      <xdr:row>87</xdr:row>
      <xdr:rowOff>146237</xdr:rowOff>
    </xdr:to>
    <xdr:graphicFrame macro="">
      <xdr:nvGraphicFramePr>
        <xdr:cNvPr id="8" name="Gráfico 7">
          <a:extLst>
            <a:ext uri="{FF2B5EF4-FFF2-40B4-BE49-F238E27FC236}">
              <a16:creationId xmlns:a16="http://schemas.microsoft.com/office/drawing/2014/main" id="{5EC2C70C-AA84-42B9-9171-DEACCDF83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56030</xdr:colOff>
      <xdr:row>90</xdr:row>
      <xdr:rowOff>33618</xdr:rowOff>
    </xdr:from>
    <xdr:to>
      <xdr:col>11</xdr:col>
      <xdr:colOff>684680</xdr:colOff>
      <xdr:row>115</xdr:row>
      <xdr:rowOff>157443</xdr:rowOff>
    </xdr:to>
    <xdr:graphicFrame macro="">
      <xdr:nvGraphicFramePr>
        <xdr:cNvPr id="9" name="Gráfico 8">
          <a:extLst>
            <a:ext uri="{FF2B5EF4-FFF2-40B4-BE49-F238E27FC236}">
              <a16:creationId xmlns:a16="http://schemas.microsoft.com/office/drawing/2014/main" id="{710D9419-C1CA-4247-84D5-202FD74B7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131669</xdr:colOff>
      <xdr:row>90</xdr:row>
      <xdr:rowOff>33618</xdr:rowOff>
    </xdr:from>
    <xdr:to>
      <xdr:col>22</xdr:col>
      <xdr:colOff>760319</xdr:colOff>
      <xdr:row>115</xdr:row>
      <xdr:rowOff>157443</xdr:rowOff>
    </xdr:to>
    <xdr:graphicFrame macro="">
      <xdr:nvGraphicFramePr>
        <xdr:cNvPr id="10" name="Gráfico 9">
          <a:extLst>
            <a:ext uri="{FF2B5EF4-FFF2-40B4-BE49-F238E27FC236}">
              <a16:creationId xmlns:a16="http://schemas.microsoft.com/office/drawing/2014/main" id="{5F8E9F36-2A0C-4B27-A1B2-4E0B14399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100853</xdr:colOff>
      <xdr:row>1</xdr:row>
      <xdr:rowOff>156883</xdr:rowOff>
    </xdr:from>
    <xdr:to>
      <xdr:col>2</xdr:col>
      <xdr:colOff>653302</xdr:colOff>
      <xdr:row>3</xdr:row>
      <xdr:rowOff>92704</xdr:rowOff>
    </xdr:to>
    <xdr:pic>
      <xdr:nvPicPr>
        <xdr:cNvPr id="11" name="Imagen 10">
          <a:extLst>
            <a:ext uri="{FF2B5EF4-FFF2-40B4-BE49-F238E27FC236}">
              <a16:creationId xmlns:a16="http://schemas.microsoft.com/office/drawing/2014/main" id="{D5EE560A-1F05-45A0-B3AF-048D24EB598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62853" y="347383"/>
          <a:ext cx="1314449" cy="529733"/>
        </a:xfrm>
        <a:prstGeom prst="rect">
          <a:avLst/>
        </a:prstGeom>
        <a:noFill/>
        <a:ln>
          <a:noFill/>
        </a:ln>
      </xdr:spPr>
    </xdr:pic>
    <xdr:clientData/>
  </xdr:twoCellAnchor>
  <xdr:twoCellAnchor editAs="oneCell">
    <xdr:from>
      <xdr:col>20</xdr:col>
      <xdr:colOff>712717</xdr:colOff>
      <xdr:row>1</xdr:row>
      <xdr:rowOff>152399</xdr:rowOff>
    </xdr:from>
    <xdr:to>
      <xdr:col>22</xdr:col>
      <xdr:colOff>503166</xdr:colOff>
      <xdr:row>3</xdr:row>
      <xdr:rowOff>88220</xdr:rowOff>
    </xdr:to>
    <xdr:pic>
      <xdr:nvPicPr>
        <xdr:cNvPr id="12" name="Imagen 11">
          <a:extLst>
            <a:ext uri="{FF2B5EF4-FFF2-40B4-BE49-F238E27FC236}">
              <a16:creationId xmlns:a16="http://schemas.microsoft.com/office/drawing/2014/main" id="{32D03DFA-4969-487A-A6FE-D94A9BF1924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952717" y="342899"/>
          <a:ext cx="1314449" cy="52973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E1148-AAE6-44EF-B6FC-189583E74C4B}">
  <sheetPr>
    <pageSetUpPr fitToPage="1"/>
  </sheetPr>
  <dimension ref="A4:G37"/>
  <sheetViews>
    <sheetView showGridLines="0" zoomScale="80" zoomScaleNormal="80" workbookViewId="0">
      <selection activeCell="A4" sqref="A4:G4"/>
    </sheetView>
  </sheetViews>
  <sheetFormatPr baseColWidth="10" defaultRowHeight="15" x14ac:dyDescent="0.25"/>
  <cols>
    <col min="1" max="1" width="47.140625" bestFit="1" customWidth="1"/>
    <col min="2" max="7" width="18.7109375" customWidth="1"/>
  </cols>
  <sheetData>
    <row r="4" spans="1:7" ht="54.75" customHeight="1" x14ac:dyDescent="0.25">
      <c r="A4" s="56" t="s">
        <v>121</v>
      </c>
      <c r="B4" s="57"/>
      <c r="C4" s="57"/>
      <c r="D4" s="57"/>
      <c r="E4" s="57"/>
      <c r="F4" s="57"/>
      <c r="G4" s="58"/>
    </row>
    <row r="5" spans="1:7" ht="15.75" x14ac:dyDescent="0.25">
      <c r="A5" s="52" t="s">
        <v>75</v>
      </c>
      <c r="B5" s="53"/>
      <c r="C5" s="53"/>
      <c r="D5" s="53"/>
      <c r="E5" s="53"/>
      <c r="F5" s="53"/>
      <c r="G5" s="54"/>
    </row>
    <row r="6" spans="1:7" ht="15.75" x14ac:dyDescent="0.25">
      <c r="A6" s="52"/>
      <c r="B6" s="53"/>
      <c r="C6" s="53"/>
      <c r="D6" s="53"/>
      <c r="E6" s="53"/>
      <c r="F6" s="53"/>
      <c r="G6" s="54"/>
    </row>
    <row r="7" spans="1:7" ht="25.5" customHeight="1" x14ac:dyDescent="0.25">
      <c r="A7" s="24" t="s">
        <v>72</v>
      </c>
      <c r="B7" s="49"/>
      <c r="C7" s="50"/>
      <c r="D7" s="50"/>
      <c r="E7" s="50"/>
      <c r="F7" s="50"/>
      <c r="G7" s="51"/>
    </row>
    <row r="8" spans="1:7" ht="25.5" customHeight="1" x14ac:dyDescent="0.25">
      <c r="A8" s="24" t="s">
        <v>99</v>
      </c>
      <c r="B8" s="49"/>
      <c r="C8" s="50"/>
      <c r="D8" s="50"/>
      <c r="E8" s="50"/>
      <c r="F8" s="50"/>
      <c r="G8" s="51"/>
    </row>
    <row r="9" spans="1:7" ht="15.75" x14ac:dyDescent="0.25">
      <c r="A9" s="52"/>
      <c r="B9" s="53"/>
      <c r="C9" s="53"/>
      <c r="D9" s="53"/>
      <c r="E9" s="53"/>
      <c r="F9" s="53"/>
      <c r="G9" s="54"/>
    </row>
    <row r="10" spans="1:7" ht="15.75" x14ac:dyDescent="0.25">
      <c r="A10" s="21" t="s">
        <v>76</v>
      </c>
      <c r="B10" s="49"/>
      <c r="C10" s="50"/>
      <c r="D10" s="50"/>
      <c r="E10" s="50"/>
      <c r="F10" s="50"/>
      <c r="G10" s="51"/>
    </row>
    <row r="11" spans="1:7" ht="15.75" x14ac:dyDescent="0.25">
      <c r="A11" s="21" t="s">
        <v>77</v>
      </c>
      <c r="B11" s="49"/>
      <c r="C11" s="50"/>
      <c r="D11" s="50"/>
      <c r="E11" s="50"/>
      <c r="F11" s="50"/>
      <c r="G11" s="51"/>
    </row>
    <row r="12" spans="1:7" ht="15.75" x14ac:dyDescent="0.25">
      <c r="A12" s="21" t="s">
        <v>98</v>
      </c>
      <c r="B12" s="20" t="s">
        <v>85</v>
      </c>
      <c r="C12" s="25"/>
      <c r="D12" s="20" t="s">
        <v>88</v>
      </c>
      <c r="E12" s="25"/>
      <c r="F12" s="20" t="s">
        <v>89</v>
      </c>
      <c r="G12" s="25"/>
    </row>
    <row r="13" spans="1:7" ht="15.75" x14ac:dyDescent="0.25">
      <c r="A13" s="21" t="s">
        <v>78</v>
      </c>
      <c r="B13" s="49"/>
      <c r="C13" s="50"/>
      <c r="D13" s="50"/>
      <c r="E13" s="50"/>
      <c r="F13" s="50"/>
      <c r="G13" s="51"/>
    </row>
    <row r="14" spans="1:7" ht="15.75" x14ac:dyDescent="0.25">
      <c r="A14" s="21" t="s">
        <v>79</v>
      </c>
      <c r="B14" s="49"/>
      <c r="C14" s="50"/>
      <c r="D14" s="50"/>
      <c r="E14" s="50"/>
      <c r="F14" s="50"/>
      <c r="G14" s="51"/>
    </row>
    <row r="15" spans="1:7" ht="15.75" x14ac:dyDescent="0.25">
      <c r="A15" s="21" t="s">
        <v>80</v>
      </c>
      <c r="B15" s="49"/>
      <c r="C15" s="50"/>
      <c r="D15" s="50"/>
      <c r="E15" s="50"/>
      <c r="F15" s="50"/>
      <c r="G15" s="51"/>
    </row>
    <row r="16" spans="1:7" ht="15.75" x14ac:dyDescent="0.25">
      <c r="A16" s="21" t="s">
        <v>81</v>
      </c>
      <c r="B16" s="49"/>
      <c r="C16" s="50"/>
      <c r="D16" s="50"/>
      <c r="E16" s="50"/>
      <c r="F16" s="50"/>
      <c r="G16" s="51"/>
    </row>
    <row r="17" spans="1:7" ht="15.75" x14ac:dyDescent="0.25">
      <c r="A17" s="21" t="s">
        <v>82</v>
      </c>
      <c r="B17" s="49"/>
      <c r="C17" s="50"/>
      <c r="D17" s="50"/>
      <c r="E17" s="50"/>
      <c r="F17" s="50"/>
      <c r="G17" s="51"/>
    </row>
    <row r="18" spans="1:7" ht="15.75" x14ac:dyDescent="0.25">
      <c r="A18" s="21" t="s">
        <v>83</v>
      </c>
      <c r="B18" s="49"/>
      <c r="C18" s="50"/>
      <c r="D18" s="50"/>
      <c r="E18" s="50"/>
      <c r="F18" s="50"/>
      <c r="G18" s="51"/>
    </row>
    <row r="19" spans="1:7" ht="15.75" x14ac:dyDescent="0.25">
      <c r="A19" s="21" t="s">
        <v>97</v>
      </c>
      <c r="B19" s="25" t="s">
        <v>86</v>
      </c>
      <c r="C19" s="25" t="s">
        <v>92</v>
      </c>
      <c r="D19" s="25" t="s">
        <v>93</v>
      </c>
      <c r="E19" s="25" t="s">
        <v>94</v>
      </c>
      <c r="F19" s="25" t="s">
        <v>90</v>
      </c>
      <c r="G19" s="25"/>
    </row>
    <row r="20" spans="1:7" ht="15.75" x14ac:dyDescent="0.25">
      <c r="A20" s="21" t="s">
        <v>96</v>
      </c>
      <c r="B20" s="20" t="s">
        <v>87</v>
      </c>
      <c r="C20" s="25"/>
      <c r="D20" s="20" t="s">
        <v>88</v>
      </c>
      <c r="E20" s="25"/>
      <c r="F20" s="20" t="s">
        <v>91</v>
      </c>
      <c r="G20" s="25"/>
    </row>
    <row r="21" spans="1:7" ht="15.75" x14ac:dyDescent="0.25">
      <c r="A21" s="21" t="s">
        <v>95</v>
      </c>
      <c r="B21" s="26">
        <v>1</v>
      </c>
      <c r="C21" s="27">
        <v>2</v>
      </c>
      <c r="D21" s="27">
        <v>3</v>
      </c>
      <c r="E21" s="27">
        <v>4</v>
      </c>
      <c r="F21" s="27">
        <v>5</v>
      </c>
      <c r="G21" s="27">
        <v>6</v>
      </c>
    </row>
    <row r="22" spans="1:7" ht="15.75" x14ac:dyDescent="0.25">
      <c r="A22" s="52"/>
      <c r="B22" s="53"/>
      <c r="C22" s="53"/>
      <c r="D22" s="53"/>
      <c r="E22" s="53"/>
      <c r="F22" s="53"/>
      <c r="G22" s="54"/>
    </row>
    <row r="23" spans="1:7" ht="26.25" customHeight="1" x14ac:dyDescent="0.25">
      <c r="A23" s="21" t="s">
        <v>84</v>
      </c>
      <c r="B23" s="49"/>
      <c r="C23" s="50"/>
      <c r="D23" s="50"/>
      <c r="E23" s="50"/>
      <c r="F23" s="50"/>
      <c r="G23" s="51"/>
    </row>
    <row r="24" spans="1:7" ht="26.25" customHeight="1" x14ac:dyDescent="0.25">
      <c r="A24" s="21" t="s">
        <v>73</v>
      </c>
      <c r="B24" s="49"/>
      <c r="C24" s="50"/>
      <c r="D24" s="50"/>
      <c r="E24" s="50"/>
      <c r="F24" s="50"/>
      <c r="G24" s="51"/>
    </row>
    <row r="25" spans="1:7" x14ac:dyDescent="0.25">
      <c r="A25" s="55" t="s">
        <v>100</v>
      </c>
      <c r="B25" s="55"/>
      <c r="C25" s="55"/>
      <c r="D25" s="55"/>
      <c r="E25" s="55"/>
      <c r="F25" s="55"/>
      <c r="G25" s="55"/>
    </row>
    <row r="26" spans="1:7" x14ac:dyDescent="0.25">
      <c r="A26" s="55"/>
      <c r="B26" s="55"/>
      <c r="C26" s="55"/>
      <c r="D26" s="55"/>
      <c r="E26" s="55"/>
      <c r="F26" s="55"/>
      <c r="G26" s="55"/>
    </row>
    <row r="27" spans="1:7" x14ac:dyDescent="0.25">
      <c r="A27" s="55"/>
      <c r="B27" s="55"/>
      <c r="C27" s="55"/>
      <c r="D27" s="55"/>
      <c r="E27" s="55"/>
      <c r="F27" s="55"/>
      <c r="G27" s="55"/>
    </row>
    <row r="28" spans="1:7" x14ac:dyDescent="0.25">
      <c r="A28" s="55"/>
      <c r="B28" s="55"/>
      <c r="C28" s="55"/>
      <c r="D28" s="55"/>
      <c r="E28" s="55"/>
      <c r="F28" s="55"/>
      <c r="G28" s="55"/>
    </row>
    <row r="29" spans="1:7" x14ac:dyDescent="0.25">
      <c r="A29" s="55"/>
      <c r="B29" s="55"/>
      <c r="C29" s="55"/>
      <c r="D29" s="55"/>
      <c r="E29" s="55"/>
      <c r="F29" s="55"/>
      <c r="G29" s="55"/>
    </row>
    <row r="30" spans="1:7" x14ac:dyDescent="0.25">
      <c r="A30" s="55"/>
      <c r="B30" s="55"/>
      <c r="C30" s="55"/>
      <c r="D30" s="55"/>
      <c r="E30" s="55"/>
      <c r="F30" s="55"/>
      <c r="G30" s="55"/>
    </row>
    <row r="31" spans="1:7" x14ac:dyDescent="0.25">
      <c r="A31" s="55"/>
      <c r="B31" s="55"/>
      <c r="C31" s="55"/>
      <c r="D31" s="55"/>
      <c r="E31" s="55"/>
      <c r="F31" s="55"/>
      <c r="G31" s="55"/>
    </row>
    <row r="36" spans="1:1" x14ac:dyDescent="0.25">
      <c r="A36" s="40"/>
    </row>
    <row r="37" spans="1:1" x14ac:dyDescent="0.25">
      <c r="A37" s="28" t="s">
        <v>101</v>
      </c>
    </row>
  </sheetData>
  <sheetProtection algorithmName="SHA-512" hashValue="d9h4Suyzt+7fBgMjWHdDwAuA1v6rFmT5bwKKlaICnVBfPM1Njq3hnxBD6n+rAbn+9URTPvw/vlC+cCdLBTSEkQ==" saltValue="iPvMtWwwe/EsWwlOfi9Xrg==" spinCount="100000" sheet="1" objects="1" scenarios="1"/>
  <mergeCells count="18">
    <mergeCell ref="B17:G17"/>
    <mergeCell ref="B16:G16"/>
    <mergeCell ref="A4:G4"/>
    <mergeCell ref="A5:G5"/>
    <mergeCell ref="A6:G6"/>
    <mergeCell ref="B7:G7"/>
    <mergeCell ref="B8:G8"/>
    <mergeCell ref="A9:G9"/>
    <mergeCell ref="B10:G10"/>
    <mergeCell ref="B11:G11"/>
    <mergeCell ref="B13:G13"/>
    <mergeCell ref="B14:G14"/>
    <mergeCell ref="B15:G15"/>
    <mergeCell ref="B18:G18"/>
    <mergeCell ref="A22:G22"/>
    <mergeCell ref="B23:G23"/>
    <mergeCell ref="B24:G24"/>
    <mergeCell ref="A25:G31"/>
  </mergeCells>
  <pageMargins left="0.7" right="0.7" top="0.75" bottom="0.75" header="0.3" footer="0.3"/>
  <pageSetup paperSize="9" scale="78"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1EE25-AA09-4C9E-836B-1E25C0C41D6D}">
  <dimension ref="A2:D62"/>
  <sheetViews>
    <sheetView showGridLines="0" tabSelected="1" topLeftCell="A55" zoomScaleNormal="100" workbookViewId="0">
      <selection activeCell="C60" sqref="C60:C62"/>
    </sheetView>
  </sheetViews>
  <sheetFormatPr baseColWidth="10" defaultRowHeight="15" x14ac:dyDescent="0.25"/>
  <cols>
    <col min="1" max="1" width="96.42578125" style="3" customWidth="1"/>
    <col min="2" max="2" width="13.28515625" style="3" bestFit="1" customWidth="1"/>
    <col min="3" max="3" width="16.42578125" style="3" bestFit="1" customWidth="1"/>
    <col min="4" max="4" width="15.28515625" style="3" bestFit="1" customWidth="1"/>
    <col min="5" max="16384" width="11.42578125" style="3"/>
  </cols>
  <sheetData>
    <row r="2" spans="1:4" ht="31.5" x14ac:dyDescent="0.25">
      <c r="A2" s="61" t="s">
        <v>70</v>
      </c>
      <c r="B2" s="61"/>
      <c r="C2" s="61"/>
      <c r="D2" s="61"/>
    </row>
    <row r="3" spans="1:4" ht="21" x14ac:dyDescent="0.25">
      <c r="A3" s="62" t="s">
        <v>71</v>
      </c>
      <c r="B3" s="62"/>
      <c r="C3" s="62"/>
      <c r="D3" s="62"/>
    </row>
    <row r="4" spans="1:4" ht="21" x14ac:dyDescent="0.25">
      <c r="A4" s="48" t="s">
        <v>118</v>
      </c>
      <c r="B4" s="59"/>
      <c r="C4" s="59"/>
      <c r="D4" s="59"/>
    </row>
    <row r="5" spans="1:4" ht="21" x14ac:dyDescent="0.25">
      <c r="A5" s="48" t="s">
        <v>72</v>
      </c>
      <c r="B5" s="59"/>
      <c r="C5" s="59"/>
      <c r="D5" s="59"/>
    </row>
    <row r="6" spans="1:4" ht="21" x14ac:dyDescent="0.25">
      <c r="A6" s="48" t="s">
        <v>73</v>
      </c>
      <c r="B6" s="59"/>
      <c r="C6" s="59"/>
      <c r="D6" s="59"/>
    </row>
    <row r="7" spans="1:4" ht="21" x14ac:dyDescent="0.25">
      <c r="A7" s="48" t="s">
        <v>74</v>
      </c>
      <c r="B7" s="59"/>
      <c r="C7" s="59"/>
      <c r="D7" s="59"/>
    </row>
    <row r="8" spans="1:4" ht="21" x14ac:dyDescent="0.25">
      <c r="A8" s="48" t="s">
        <v>119</v>
      </c>
      <c r="B8" s="60" t="s">
        <v>120</v>
      </c>
      <c r="C8" s="60"/>
      <c r="D8" s="60"/>
    </row>
    <row r="10" spans="1:4" ht="45" customHeight="1" x14ac:dyDescent="0.25">
      <c r="A10" s="1" t="s">
        <v>9</v>
      </c>
      <c r="B10" s="2" t="s">
        <v>52</v>
      </c>
      <c r="C10" s="2" t="s">
        <v>53</v>
      </c>
      <c r="D10" s="2" t="s">
        <v>54</v>
      </c>
    </row>
    <row r="11" spans="1:4" ht="78" customHeight="1" x14ac:dyDescent="0.25">
      <c r="A11" s="22" t="s">
        <v>55</v>
      </c>
      <c r="B11" s="8"/>
      <c r="C11" s="12" t="str">
        <f t="shared" ref="C11:C20" si="0">IF(B11="","",IF(B11=0,$C$60,IF(B11=1,$C$61,IF(B11=2,$C$62))))</f>
        <v/>
      </c>
      <c r="D11" s="14" t="str">
        <f>IF(B11="","",IF(B11=0,$D$60,IF(B11=1,$D$61,IF(B11=2,$D$62))))</f>
        <v/>
      </c>
    </row>
    <row r="12" spans="1:4" ht="78" customHeight="1" x14ac:dyDescent="0.25">
      <c r="A12" s="22" t="s">
        <v>0</v>
      </c>
      <c r="B12" s="8"/>
      <c r="C12" s="12" t="str">
        <f t="shared" si="0"/>
        <v/>
      </c>
      <c r="D12" s="14" t="str">
        <f t="shared" ref="D12:D20" si="1">IF(B12="","",IF(B12=0,$D$60,IF(B12=1,$D$61,IF(B12=2,$D$62))))</f>
        <v/>
      </c>
    </row>
    <row r="13" spans="1:4" ht="78" customHeight="1" x14ac:dyDescent="0.25">
      <c r="A13" s="22" t="s">
        <v>1</v>
      </c>
      <c r="B13" s="8"/>
      <c r="C13" s="12" t="str">
        <f t="shared" si="0"/>
        <v/>
      </c>
      <c r="D13" s="14" t="str">
        <f t="shared" si="1"/>
        <v/>
      </c>
    </row>
    <row r="14" spans="1:4" ht="78" customHeight="1" x14ac:dyDescent="0.25">
      <c r="A14" s="22" t="s">
        <v>2</v>
      </c>
      <c r="B14" s="8"/>
      <c r="C14" s="12" t="str">
        <f t="shared" si="0"/>
        <v/>
      </c>
      <c r="D14" s="14" t="str">
        <f t="shared" si="1"/>
        <v/>
      </c>
    </row>
    <row r="15" spans="1:4" ht="78" customHeight="1" x14ac:dyDescent="0.25">
      <c r="A15" s="22" t="s">
        <v>3</v>
      </c>
      <c r="B15" s="8"/>
      <c r="C15" s="12" t="str">
        <f t="shared" si="0"/>
        <v/>
      </c>
      <c r="D15" s="14" t="str">
        <f t="shared" si="1"/>
        <v/>
      </c>
    </row>
    <row r="16" spans="1:4" ht="78" customHeight="1" x14ac:dyDescent="0.25">
      <c r="A16" s="22" t="s">
        <v>4</v>
      </c>
      <c r="B16" s="8"/>
      <c r="C16" s="12" t="str">
        <f t="shared" si="0"/>
        <v/>
      </c>
      <c r="D16" s="14" t="str">
        <f t="shared" si="1"/>
        <v/>
      </c>
    </row>
    <row r="17" spans="1:4" ht="78" customHeight="1" x14ac:dyDescent="0.25">
      <c r="A17" s="22" t="s">
        <v>5</v>
      </c>
      <c r="B17" s="8"/>
      <c r="C17" s="12" t="str">
        <f t="shared" si="0"/>
        <v/>
      </c>
      <c r="D17" s="14" t="str">
        <f t="shared" si="1"/>
        <v/>
      </c>
    </row>
    <row r="18" spans="1:4" ht="78" customHeight="1" x14ac:dyDescent="0.25">
      <c r="A18" s="22" t="s">
        <v>6</v>
      </c>
      <c r="B18" s="8"/>
      <c r="C18" s="12" t="str">
        <f t="shared" si="0"/>
        <v/>
      </c>
      <c r="D18" s="14" t="str">
        <f t="shared" si="1"/>
        <v/>
      </c>
    </row>
    <row r="19" spans="1:4" ht="78" customHeight="1" x14ac:dyDescent="0.25">
      <c r="A19" s="22" t="s">
        <v>7</v>
      </c>
      <c r="B19" s="8"/>
      <c r="C19" s="12" t="str">
        <f t="shared" si="0"/>
        <v/>
      </c>
      <c r="D19" s="14" t="str">
        <f t="shared" si="1"/>
        <v/>
      </c>
    </row>
    <row r="20" spans="1:4" ht="78" customHeight="1" x14ac:dyDescent="0.25">
      <c r="A20" s="22" t="s">
        <v>8</v>
      </c>
      <c r="B20" s="8"/>
      <c r="C20" s="12" t="str">
        <f t="shared" si="0"/>
        <v/>
      </c>
      <c r="D20" s="14" t="str">
        <f t="shared" si="1"/>
        <v/>
      </c>
    </row>
    <row r="21" spans="1:4" x14ac:dyDescent="0.25">
      <c r="A21" s="23" t="s">
        <v>57</v>
      </c>
      <c r="B21" s="10">
        <f>SUM(B11:B20)</f>
        <v>0</v>
      </c>
      <c r="C21" s="13"/>
      <c r="D21" s="15">
        <f>SUM(D11:D20)</f>
        <v>0</v>
      </c>
    </row>
    <row r="22" spans="1:4" ht="45" customHeight="1" x14ac:dyDescent="0.25">
      <c r="A22" s="1" t="s">
        <v>10</v>
      </c>
      <c r="B22" s="2" t="s">
        <v>52</v>
      </c>
      <c r="C22" s="2" t="s">
        <v>53</v>
      </c>
      <c r="D22" s="2" t="s">
        <v>54</v>
      </c>
    </row>
    <row r="23" spans="1:4" ht="78" customHeight="1" x14ac:dyDescent="0.25">
      <c r="A23" s="22" t="s">
        <v>11</v>
      </c>
      <c r="B23" s="8"/>
      <c r="C23" s="12" t="str">
        <f t="shared" ref="C23:C32" si="2">IF(B23="","",IF(B23=0,$C$60,IF(B23=1,$C$61,IF(B23=2,$C$62))))</f>
        <v/>
      </c>
      <c r="D23" s="14" t="str">
        <f>IF(B23="","",IF(B23=0,$D$60,IF(B23=1,$D$61,IF(B23=2,$D$62))))</f>
        <v/>
      </c>
    </row>
    <row r="24" spans="1:4" ht="78" customHeight="1" x14ac:dyDescent="0.25">
      <c r="A24" s="22" t="s">
        <v>12</v>
      </c>
      <c r="B24" s="8"/>
      <c r="C24" s="12" t="str">
        <f t="shared" si="2"/>
        <v/>
      </c>
      <c r="D24" s="14" t="str">
        <f t="shared" ref="D24:D32" si="3">IF(B24="","",IF(B24=0,$D$60,IF(B24=1,$D$61,IF(B24=2,$D$62))))</f>
        <v/>
      </c>
    </row>
    <row r="25" spans="1:4" ht="78" customHeight="1" x14ac:dyDescent="0.25">
      <c r="A25" s="22" t="s">
        <v>13</v>
      </c>
      <c r="B25" s="8"/>
      <c r="C25" s="12" t="str">
        <f t="shared" si="2"/>
        <v/>
      </c>
      <c r="D25" s="14" t="str">
        <f t="shared" si="3"/>
        <v/>
      </c>
    </row>
    <row r="26" spans="1:4" ht="78" customHeight="1" x14ac:dyDescent="0.25">
      <c r="A26" s="22" t="s">
        <v>14</v>
      </c>
      <c r="B26" s="8"/>
      <c r="C26" s="12" t="str">
        <f t="shared" si="2"/>
        <v/>
      </c>
      <c r="D26" s="14" t="str">
        <f t="shared" si="3"/>
        <v/>
      </c>
    </row>
    <row r="27" spans="1:4" ht="78" customHeight="1" x14ac:dyDescent="0.25">
      <c r="A27" s="22" t="s">
        <v>15</v>
      </c>
      <c r="B27" s="8"/>
      <c r="C27" s="12" t="str">
        <f t="shared" si="2"/>
        <v/>
      </c>
      <c r="D27" s="14" t="str">
        <f t="shared" si="3"/>
        <v/>
      </c>
    </row>
    <row r="28" spans="1:4" ht="78" customHeight="1" x14ac:dyDescent="0.25">
      <c r="A28" s="22" t="s">
        <v>16</v>
      </c>
      <c r="B28" s="8"/>
      <c r="C28" s="12" t="str">
        <f t="shared" si="2"/>
        <v/>
      </c>
      <c r="D28" s="14" t="str">
        <f t="shared" si="3"/>
        <v/>
      </c>
    </row>
    <row r="29" spans="1:4" ht="78" customHeight="1" x14ac:dyDescent="0.25">
      <c r="A29" s="22" t="s">
        <v>17</v>
      </c>
      <c r="B29" s="8"/>
      <c r="C29" s="12" t="str">
        <f t="shared" si="2"/>
        <v/>
      </c>
      <c r="D29" s="14" t="str">
        <f t="shared" si="3"/>
        <v/>
      </c>
    </row>
    <row r="30" spans="1:4" ht="78" customHeight="1" x14ac:dyDescent="0.25">
      <c r="A30" s="22" t="s">
        <v>18</v>
      </c>
      <c r="B30" s="8"/>
      <c r="C30" s="12" t="str">
        <f t="shared" si="2"/>
        <v/>
      </c>
      <c r="D30" s="14" t="str">
        <f t="shared" si="3"/>
        <v/>
      </c>
    </row>
    <row r="31" spans="1:4" ht="78" customHeight="1" x14ac:dyDescent="0.25">
      <c r="A31" s="22" t="s">
        <v>19</v>
      </c>
      <c r="B31" s="8"/>
      <c r="C31" s="12" t="str">
        <f t="shared" si="2"/>
        <v/>
      </c>
      <c r="D31" s="14" t="str">
        <f t="shared" si="3"/>
        <v/>
      </c>
    </row>
    <row r="32" spans="1:4" ht="78" customHeight="1" x14ac:dyDescent="0.25">
      <c r="A32" s="22" t="s">
        <v>20</v>
      </c>
      <c r="B32" s="8"/>
      <c r="C32" s="12" t="str">
        <f t="shared" si="2"/>
        <v/>
      </c>
      <c r="D32" s="14" t="str">
        <f t="shared" si="3"/>
        <v/>
      </c>
    </row>
    <row r="33" spans="1:4" x14ac:dyDescent="0.25">
      <c r="A33" s="23" t="s">
        <v>57</v>
      </c>
      <c r="B33" s="10">
        <f>SUM(B23:B32)</f>
        <v>0</v>
      </c>
      <c r="C33" s="13"/>
      <c r="D33" s="16">
        <f>SUM(D23:D32)</f>
        <v>0</v>
      </c>
    </row>
    <row r="34" spans="1:4" ht="45" customHeight="1" x14ac:dyDescent="0.25">
      <c r="A34" s="1" t="s">
        <v>21</v>
      </c>
      <c r="B34" s="2" t="s">
        <v>52</v>
      </c>
      <c r="C34" s="2" t="s">
        <v>53</v>
      </c>
      <c r="D34" s="2" t="s">
        <v>54</v>
      </c>
    </row>
    <row r="35" spans="1:4" ht="78" customHeight="1" x14ac:dyDescent="0.25">
      <c r="A35" s="22" t="s">
        <v>22</v>
      </c>
      <c r="B35" s="8"/>
      <c r="C35" s="12" t="str">
        <f t="shared" ref="C35:C44" si="4">IF(B35="","",IF(B35=0,$C$60,IF(B35=1,$C$61,IF(B35=2,$C$62))))</f>
        <v/>
      </c>
      <c r="D35" s="14" t="str">
        <f>IF(B35="","",IF(B35=0,$D$60,IF(B35=1,$D$61,IF(B35=2,$D$62))))</f>
        <v/>
      </c>
    </row>
    <row r="36" spans="1:4" ht="78" customHeight="1" x14ac:dyDescent="0.25">
      <c r="A36" s="22" t="s">
        <v>23</v>
      </c>
      <c r="B36" s="8"/>
      <c r="C36" s="12" t="str">
        <f t="shared" si="4"/>
        <v/>
      </c>
      <c r="D36" s="14" t="str">
        <f t="shared" ref="D36:D44" si="5">IF(B36="","",IF(B36=0,$D$60,IF(B36=1,$D$61,IF(B36=2,$D$62))))</f>
        <v/>
      </c>
    </row>
    <row r="37" spans="1:4" ht="78" customHeight="1" x14ac:dyDescent="0.25">
      <c r="A37" s="22" t="s">
        <v>24</v>
      </c>
      <c r="B37" s="8"/>
      <c r="C37" s="12" t="str">
        <f t="shared" si="4"/>
        <v/>
      </c>
      <c r="D37" s="14" t="str">
        <f t="shared" si="5"/>
        <v/>
      </c>
    </row>
    <row r="38" spans="1:4" ht="78" customHeight="1" x14ac:dyDescent="0.25">
      <c r="A38" s="22" t="s">
        <v>25</v>
      </c>
      <c r="B38" s="8"/>
      <c r="C38" s="12" t="str">
        <f t="shared" si="4"/>
        <v/>
      </c>
      <c r="D38" s="14" t="str">
        <f t="shared" si="5"/>
        <v/>
      </c>
    </row>
    <row r="39" spans="1:4" ht="78" customHeight="1" x14ac:dyDescent="0.25">
      <c r="A39" s="22" t="s">
        <v>26</v>
      </c>
      <c r="B39" s="8"/>
      <c r="C39" s="12" t="str">
        <f t="shared" si="4"/>
        <v/>
      </c>
      <c r="D39" s="14" t="str">
        <f t="shared" si="5"/>
        <v/>
      </c>
    </row>
    <row r="40" spans="1:4" ht="78" customHeight="1" x14ac:dyDescent="0.25">
      <c r="A40" s="22" t="s">
        <v>27</v>
      </c>
      <c r="B40" s="8"/>
      <c r="C40" s="12" t="str">
        <f t="shared" si="4"/>
        <v/>
      </c>
      <c r="D40" s="14" t="str">
        <f t="shared" si="5"/>
        <v/>
      </c>
    </row>
    <row r="41" spans="1:4" ht="78" customHeight="1" x14ac:dyDescent="0.25">
      <c r="A41" s="22" t="s">
        <v>28</v>
      </c>
      <c r="B41" s="8"/>
      <c r="C41" s="12" t="str">
        <f t="shared" si="4"/>
        <v/>
      </c>
      <c r="D41" s="14" t="str">
        <f t="shared" si="5"/>
        <v/>
      </c>
    </row>
    <row r="42" spans="1:4" ht="78" customHeight="1" x14ac:dyDescent="0.25">
      <c r="A42" s="22" t="s">
        <v>29</v>
      </c>
      <c r="B42" s="8"/>
      <c r="C42" s="12" t="str">
        <f t="shared" si="4"/>
        <v/>
      </c>
      <c r="D42" s="14" t="str">
        <f t="shared" si="5"/>
        <v/>
      </c>
    </row>
    <row r="43" spans="1:4" ht="78" customHeight="1" x14ac:dyDescent="0.25">
      <c r="A43" s="22" t="s">
        <v>30</v>
      </c>
      <c r="B43" s="8"/>
      <c r="C43" s="12" t="str">
        <f t="shared" si="4"/>
        <v/>
      </c>
      <c r="D43" s="14" t="str">
        <f t="shared" si="5"/>
        <v/>
      </c>
    </row>
    <row r="44" spans="1:4" ht="78" customHeight="1" x14ac:dyDescent="0.25">
      <c r="A44" s="22" t="s">
        <v>31</v>
      </c>
      <c r="B44" s="8"/>
      <c r="C44" s="12" t="str">
        <f t="shared" si="4"/>
        <v/>
      </c>
      <c r="D44" s="14" t="str">
        <f t="shared" si="5"/>
        <v/>
      </c>
    </row>
    <row r="45" spans="1:4" x14ac:dyDescent="0.25">
      <c r="A45" s="23" t="s">
        <v>57</v>
      </c>
      <c r="B45" s="10">
        <f>SUM(B35:B44)</f>
        <v>0</v>
      </c>
      <c r="C45" s="13"/>
      <c r="D45" s="15">
        <f>SUM(D35:D44)</f>
        <v>0</v>
      </c>
    </row>
    <row r="46" spans="1:4" ht="45" customHeight="1" x14ac:dyDescent="0.25">
      <c r="A46" s="1" t="s">
        <v>32</v>
      </c>
      <c r="B46" s="2" t="s">
        <v>52</v>
      </c>
      <c r="C46" s="2" t="s">
        <v>53</v>
      </c>
      <c r="D46" s="2" t="s">
        <v>54</v>
      </c>
    </row>
    <row r="47" spans="1:4" ht="78" customHeight="1" x14ac:dyDescent="0.25">
      <c r="A47" s="22" t="s">
        <v>33</v>
      </c>
      <c r="B47" s="8"/>
      <c r="C47" s="12" t="str">
        <f t="shared" ref="C47:C56" si="6">IF(B47="","",IF(B47=0,$C$60,IF(B47=1,$C$61,IF(B47=2,$C$62))))</f>
        <v/>
      </c>
      <c r="D47" s="14" t="str">
        <f>IF(B47="","",IF(B47=0,$D$60,IF(B47=1,$D$61,IF(B47=2,$D$62))))</f>
        <v/>
      </c>
    </row>
    <row r="48" spans="1:4" ht="78" customHeight="1" x14ac:dyDescent="0.25">
      <c r="A48" s="22" t="s">
        <v>34</v>
      </c>
      <c r="B48" s="8"/>
      <c r="C48" s="12" t="str">
        <f t="shared" si="6"/>
        <v/>
      </c>
      <c r="D48" s="14" t="str">
        <f t="shared" ref="D48:D56" si="7">IF(B48="","",IF(B48=0,$D$60,IF(B48=1,$D$61,IF(B48=2,$D$62))))</f>
        <v/>
      </c>
    </row>
    <row r="49" spans="1:4" ht="78" customHeight="1" x14ac:dyDescent="0.25">
      <c r="A49" s="22" t="s">
        <v>35</v>
      </c>
      <c r="B49" s="8"/>
      <c r="C49" s="12" t="str">
        <f t="shared" si="6"/>
        <v/>
      </c>
      <c r="D49" s="14" t="str">
        <f t="shared" si="7"/>
        <v/>
      </c>
    </row>
    <row r="50" spans="1:4" ht="78" customHeight="1" x14ac:dyDescent="0.25">
      <c r="A50" s="22" t="s">
        <v>36</v>
      </c>
      <c r="B50" s="8"/>
      <c r="C50" s="12" t="str">
        <f t="shared" si="6"/>
        <v/>
      </c>
      <c r="D50" s="14" t="str">
        <f t="shared" si="7"/>
        <v/>
      </c>
    </row>
    <row r="51" spans="1:4" ht="78" customHeight="1" x14ac:dyDescent="0.25">
      <c r="A51" s="22" t="s">
        <v>37</v>
      </c>
      <c r="B51" s="8"/>
      <c r="C51" s="12" t="str">
        <f t="shared" si="6"/>
        <v/>
      </c>
      <c r="D51" s="14" t="str">
        <f t="shared" si="7"/>
        <v/>
      </c>
    </row>
    <row r="52" spans="1:4" ht="78" customHeight="1" x14ac:dyDescent="0.25">
      <c r="A52" s="22" t="s">
        <v>38</v>
      </c>
      <c r="B52" s="8"/>
      <c r="C52" s="12" t="str">
        <f t="shared" si="6"/>
        <v/>
      </c>
      <c r="D52" s="14" t="str">
        <f t="shared" si="7"/>
        <v/>
      </c>
    </row>
    <row r="53" spans="1:4" ht="78" customHeight="1" x14ac:dyDescent="0.25">
      <c r="A53" s="22" t="s">
        <v>39</v>
      </c>
      <c r="B53" s="8"/>
      <c r="C53" s="12" t="str">
        <f t="shared" si="6"/>
        <v/>
      </c>
      <c r="D53" s="14" t="str">
        <f t="shared" si="7"/>
        <v/>
      </c>
    </row>
    <row r="54" spans="1:4" ht="78" customHeight="1" x14ac:dyDescent="0.25">
      <c r="A54" s="22" t="s">
        <v>40</v>
      </c>
      <c r="B54" s="8"/>
      <c r="C54" s="12" t="str">
        <f t="shared" si="6"/>
        <v/>
      </c>
      <c r="D54" s="14" t="str">
        <f t="shared" si="7"/>
        <v/>
      </c>
    </row>
    <row r="55" spans="1:4" ht="78" customHeight="1" x14ac:dyDescent="0.25">
      <c r="A55" s="22" t="s">
        <v>41</v>
      </c>
      <c r="B55" s="8"/>
      <c r="C55" s="12" t="str">
        <f t="shared" si="6"/>
        <v/>
      </c>
      <c r="D55" s="14" t="str">
        <f t="shared" si="7"/>
        <v/>
      </c>
    </row>
    <row r="56" spans="1:4" ht="78" customHeight="1" x14ac:dyDescent="0.25">
      <c r="A56" s="22" t="s">
        <v>42</v>
      </c>
      <c r="B56" s="8"/>
      <c r="C56" s="12" t="str">
        <f t="shared" si="6"/>
        <v/>
      </c>
      <c r="D56" s="14" t="str">
        <f t="shared" si="7"/>
        <v/>
      </c>
    </row>
    <row r="57" spans="1:4" x14ac:dyDescent="0.25">
      <c r="A57" s="5" t="s">
        <v>57</v>
      </c>
      <c r="B57" s="10">
        <f>SUM(B47:B56)</f>
        <v>0</v>
      </c>
      <c r="C57" s="13"/>
      <c r="D57" s="15">
        <f>SUM(D47:D56)</f>
        <v>0</v>
      </c>
    </row>
    <row r="58" spans="1:4" ht="15.75" thickBot="1" x14ac:dyDescent="0.3">
      <c r="A58" s="7"/>
    </row>
    <row r="59" spans="1:4" ht="31.5" x14ac:dyDescent="0.25">
      <c r="A59" s="31" t="s">
        <v>43</v>
      </c>
      <c r="B59" s="32" t="s">
        <v>44</v>
      </c>
      <c r="C59" s="32" t="s">
        <v>51</v>
      </c>
      <c r="D59" s="33" t="s">
        <v>56</v>
      </c>
    </row>
    <row r="60" spans="1:4" x14ac:dyDescent="0.25">
      <c r="A60" s="34" t="s">
        <v>45</v>
      </c>
      <c r="B60" s="29">
        <v>0</v>
      </c>
      <c r="C60" s="30" t="s">
        <v>46</v>
      </c>
      <c r="D60" s="35">
        <v>0</v>
      </c>
    </row>
    <row r="61" spans="1:4" x14ac:dyDescent="0.25">
      <c r="A61" s="34" t="s">
        <v>47</v>
      </c>
      <c r="B61" s="29">
        <v>1</v>
      </c>
      <c r="C61" s="30" t="s">
        <v>48</v>
      </c>
      <c r="D61" s="35">
        <v>0.05</v>
      </c>
    </row>
    <row r="62" spans="1:4" ht="15.75" thickBot="1" x14ac:dyDescent="0.3">
      <c r="A62" s="36" t="s">
        <v>49</v>
      </c>
      <c r="B62" s="37">
        <v>2</v>
      </c>
      <c r="C62" s="38" t="s">
        <v>50</v>
      </c>
      <c r="D62" s="39">
        <v>0.1</v>
      </c>
    </row>
  </sheetData>
  <sheetProtection algorithmName="SHA-512" hashValue="EWsGCcwxfmrP1dpmMjSqTwjBgpbZwVgUHgMX7lCkgxA1URFrbZdgLmEAXeWYz7QJNCwvbx4uuWD+Sjdz+4xq9Q==" saltValue="AxGePjsBXwXKhQVsSa0jpg==" spinCount="100000" sheet="1" objects="1" scenarios="1"/>
  <mergeCells count="7">
    <mergeCell ref="B7:D7"/>
    <mergeCell ref="B8:D8"/>
    <mergeCell ref="A2:D2"/>
    <mergeCell ref="A3:D3"/>
    <mergeCell ref="B4:D4"/>
    <mergeCell ref="B5:D5"/>
    <mergeCell ref="B6:D6"/>
  </mergeCells>
  <dataValidations count="1">
    <dataValidation type="list" allowBlank="1" showInputMessage="1" showErrorMessage="1" error="Por favor validar criterios de evaluación, recuerde: son 0, 1 y 2" sqref="B11:B20 B23:B32 B35:B44 B47:B56" xr:uid="{D01C2237-F686-480C-B392-9322DF8195B9}">
      <formula1>$B$60:$B$62</formula1>
    </dataValidation>
  </dataValidations>
  <pageMargins left="0.25" right="0.25" top="0.75" bottom="0.75" header="0.3" footer="0.3"/>
  <pageSetup paperSize="9"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9826C-77F8-443F-A530-9A96BEF67D19}">
  <dimension ref="A2:H19"/>
  <sheetViews>
    <sheetView showGridLines="0" topLeftCell="A10" workbookViewId="0">
      <selection activeCell="D11" sqref="D11"/>
    </sheetView>
  </sheetViews>
  <sheetFormatPr baseColWidth="10" defaultRowHeight="15" x14ac:dyDescent="0.25"/>
  <cols>
    <col min="2" max="2" width="15.140625" customWidth="1"/>
    <col min="3" max="3" width="16.85546875" customWidth="1"/>
    <col min="4" max="4" width="25.7109375" customWidth="1"/>
    <col min="6" max="6" width="26.28515625" customWidth="1"/>
  </cols>
  <sheetData>
    <row r="2" spans="1:8" ht="45" customHeight="1" x14ac:dyDescent="0.25">
      <c r="B2" s="67" t="s">
        <v>122</v>
      </c>
      <c r="C2" s="68"/>
      <c r="D2" s="68"/>
      <c r="E2" s="68"/>
      <c r="F2" s="68"/>
      <c r="G2" s="68"/>
    </row>
    <row r="4" spans="1:8" ht="21" x14ac:dyDescent="0.25">
      <c r="A4" s="64" t="s">
        <v>118</v>
      </c>
      <c r="B4" s="64"/>
      <c r="C4" s="64"/>
      <c r="D4" s="63"/>
      <c r="E4" s="63"/>
      <c r="F4" s="63"/>
      <c r="G4" s="63"/>
      <c r="H4" s="63"/>
    </row>
    <row r="5" spans="1:8" ht="21" x14ac:dyDescent="0.25">
      <c r="A5" s="64" t="s">
        <v>72</v>
      </c>
      <c r="B5" s="64"/>
      <c r="C5" s="64"/>
      <c r="D5" s="63"/>
      <c r="E5" s="63"/>
      <c r="F5" s="63"/>
      <c r="G5" s="63"/>
      <c r="H5" s="63"/>
    </row>
    <row r="6" spans="1:8" ht="21" x14ac:dyDescent="0.25">
      <c r="A6" s="64" t="s">
        <v>73</v>
      </c>
      <c r="B6" s="64"/>
      <c r="C6" s="64"/>
      <c r="D6" s="63"/>
      <c r="E6" s="63"/>
      <c r="F6" s="63"/>
      <c r="G6" s="63"/>
      <c r="H6" s="63"/>
    </row>
    <row r="7" spans="1:8" ht="21" x14ac:dyDescent="0.25">
      <c r="A7" s="64" t="s">
        <v>74</v>
      </c>
      <c r="B7" s="64"/>
      <c r="C7" s="64"/>
      <c r="D7" s="63"/>
      <c r="E7" s="63"/>
      <c r="F7" s="63"/>
      <c r="G7" s="63"/>
      <c r="H7" s="63"/>
    </row>
    <row r="9" spans="1:8" x14ac:dyDescent="0.25">
      <c r="A9" s="65" t="s">
        <v>102</v>
      </c>
      <c r="B9" s="65"/>
      <c r="C9" s="65" t="s">
        <v>103</v>
      </c>
      <c r="D9" s="65" t="s">
        <v>104</v>
      </c>
      <c r="E9" s="65"/>
      <c r="F9" s="65" t="s">
        <v>105</v>
      </c>
      <c r="G9" s="65"/>
      <c r="H9" s="65" t="s">
        <v>106</v>
      </c>
    </row>
    <row r="10" spans="1:8" x14ac:dyDescent="0.25">
      <c r="A10" s="65"/>
      <c r="B10" s="65"/>
      <c r="C10" s="65"/>
      <c r="D10" s="41" t="s">
        <v>107</v>
      </c>
      <c r="E10" s="41" t="s">
        <v>108</v>
      </c>
      <c r="F10" s="41" t="s">
        <v>107</v>
      </c>
      <c r="G10" s="41" t="s">
        <v>108</v>
      </c>
      <c r="H10" s="65"/>
    </row>
    <row r="11" spans="1:8" ht="56.25" x14ac:dyDescent="0.25">
      <c r="A11" s="42">
        <v>1</v>
      </c>
      <c r="B11" s="43" t="s">
        <v>109</v>
      </c>
      <c r="C11" s="44" t="s">
        <v>110</v>
      </c>
      <c r="D11" s="46">
        <v>0</v>
      </c>
      <c r="E11" s="66" t="s">
        <v>111</v>
      </c>
      <c r="F11" s="46">
        <v>0</v>
      </c>
      <c r="G11" s="66" t="s">
        <v>111</v>
      </c>
      <c r="H11" s="47" t="str">
        <f>IFERROR(((F11-D11)/D11)," ")</f>
        <v xml:space="preserve"> </v>
      </c>
    </row>
    <row r="12" spans="1:8" ht="56.25" x14ac:dyDescent="0.25">
      <c r="A12" s="42">
        <v>2</v>
      </c>
      <c r="B12" s="43" t="s">
        <v>112</v>
      </c>
      <c r="C12" s="44" t="s">
        <v>113</v>
      </c>
      <c r="D12" s="46">
        <v>0</v>
      </c>
      <c r="E12" s="66"/>
      <c r="F12" s="46">
        <v>0</v>
      </c>
      <c r="G12" s="66"/>
      <c r="H12" s="47" t="str">
        <f t="shared" ref="H12:H13" si="0">IFERROR(((F12-D12)/D12)," ")</f>
        <v xml:space="preserve"> </v>
      </c>
    </row>
    <row r="13" spans="1:8" ht="67.5" x14ac:dyDescent="0.25">
      <c r="A13" s="42">
        <v>3</v>
      </c>
      <c r="B13" s="43" t="s">
        <v>114</v>
      </c>
      <c r="C13" s="44" t="s">
        <v>115</v>
      </c>
      <c r="D13" s="45" t="s">
        <v>117</v>
      </c>
      <c r="E13" s="66"/>
      <c r="F13" s="45" t="s">
        <v>117</v>
      </c>
      <c r="G13" s="66"/>
      <c r="H13" s="47" t="str">
        <f t="shared" si="0"/>
        <v xml:space="preserve"> </v>
      </c>
    </row>
    <row r="15" spans="1:8" x14ac:dyDescent="0.25">
      <c r="A15" s="55" t="s">
        <v>116</v>
      </c>
      <c r="B15" s="55"/>
      <c r="C15" s="55"/>
      <c r="D15" s="55"/>
      <c r="E15" s="55"/>
      <c r="F15" s="55"/>
      <c r="G15" s="55"/>
      <c r="H15" s="55"/>
    </row>
    <row r="16" spans="1:8" x14ac:dyDescent="0.25">
      <c r="A16" s="55"/>
      <c r="B16" s="55"/>
      <c r="C16" s="55"/>
      <c r="D16" s="55"/>
      <c r="E16" s="55"/>
      <c r="F16" s="55"/>
      <c r="G16" s="55"/>
      <c r="H16" s="55"/>
    </row>
    <row r="17" spans="1:8" x14ac:dyDescent="0.25">
      <c r="A17" s="55"/>
      <c r="B17" s="55"/>
      <c r="C17" s="55"/>
      <c r="D17" s="55"/>
      <c r="E17" s="55"/>
      <c r="F17" s="55"/>
      <c r="G17" s="55"/>
      <c r="H17" s="55"/>
    </row>
    <row r="18" spans="1:8" x14ac:dyDescent="0.25">
      <c r="A18" s="55"/>
      <c r="B18" s="55"/>
      <c r="C18" s="55"/>
      <c r="D18" s="55"/>
      <c r="E18" s="55"/>
      <c r="F18" s="55"/>
      <c r="G18" s="55"/>
      <c r="H18" s="55"/>
    </row>
    <row r="19" spans="1:8" x14ac:dyDescent="0.25">
      <c r="A19" s="55"/>
      <c r="B19" s="55"/>
      <c r="C19" s="55"/>
      <c r="D19" s="55"/>
      <c r="E19" s="55"/>
      <c r="F19" s="55"/>
      <c r="G19" s="55"/>
      <c r="H19" s="55"/>
    </row>
  </sheetData>
  <sheetProtection algorithmName="SHA-512" hashValue="OipLY+OTS8cP80U82KqBANOZSAB/jIE6u7MGq5SXZKpVmCRoxZFxLCvYswe6wwSqFvQF2nEbO3aymm7jDxnpQQ==" saltValue="xLhAuOHiLazuAx/LFpZYag==" spinCount="100000" sheet="1" objects="1" scenarios="1"/>
  <mergeCells count="17">
    <mergeCell ref="B2:G2"/>
    <mergeCell ref="A15:H19"/>
    <mergeCell ref="D4:H4"/>
    <mergeCell ref="D5:H5"/>
    <mergeCell ref="D6:H6"/>
    <mergeCell ref="D7:H7"/>
    <mergeCell ref="A4:C4"/>
    <mergeCell ref="A5:C5"/>
    <mergeCell ref="A6:C6"/>
    <mergeCell ref="A9:B10"/>
    <mergeCell ref="C9:C10"/>
    <mergeCell ref="D9:E9"/>
    <mergeCell ref="F9:G9"/>
    <mergeCell ref="H9:H10"/>
    <mergeCell ref="E11:E13"/>
    <mergeCell ref="G11:G13"/>
    <mergeCell ref="A7:C7"/>
  </mergeCells>
  <pageMargins left="0.7" right="0.7" top="0.75" bottom="0.75" header="0.3" footer="0.3"/>
  <pageSetup paperSize="9"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249F-80E9-4AA3-A6D0-CAD1A5E935C0}">
  <dimension ref="B3:M13"/>
  <sheetViews>
    <sheetView showGridLines="0" topLeftCell="A16" zoomScale="90" zoomScaleNormal="90" workbookViewId="0">
      <selection activeCell="D13" sqref="D13"/>
    </sheetView>
  </sheetViews>
  <sheetFormatPr baseColWidth="10" defaultRowHeight="15" x14ac:dyDescent="0.25"/>
  <cols>
    <col min="1" max="1" width="11.42578125" style="3"/>
    <col min="2" max="2" width="38" style="3" customWidth="1"/>
    <col min="3" max="3" width="14.140625" style="3" bestFit="1" customWidth="1"/>
    <col min="4" max="4" width="26.7109375" style="3" customWidth="1"/>
    <col min="5" max="16384" width="11.42578125" style="3"/>
  </cols>
  <sheetData>
    <row r="3" spans="2:13" ht="31.5" x14ac:dyDescent="0.5">
      <c r="B3" s="72" t="s">
        <v>68</v>
      </c>
      <c r="C3" s="72"/>
      <c r="D3" s="72"/>
      <c r="E3" s="72"/>
      <c r="F3" s="72"/>
      <c r="G3" s="72"/>
      <c r="H3" s="72"/>
      <c r="I3" s="72"/>
      <c r="J3" s="72"/>
      <c r="K3" s="72"/>
      <c r="L3" s="72"/>
      <c r="M3" s="72"/>
    </row>
    <row r="7" spans="2:13" ht="39" customHeight="1" x14ac:dyDescent="0.25">
      <c r="B7" s="17" t="s">
        <v>62</v>
      </c>
      <c r="C7" s="17" t="s">
        <v>60</v>
      </c>
      <c r="D7" s="18" t="s">
        <v>61</v>
      </c>
    </row>
    <row r="8" spans="2:13" x14ac:dyDescent="0.25">
      <c r="B8" s="11" t="s">
        <v>63</v>
      </c>
      <c r="C8" s="6">
        <f>Diagnóstico!D21</f>
        <v>0</v>
      </c>
      <c r="D8" s="4" t="str">
        <f>IF(C8="","",IF('Gráfica Consolidado General'!C8&gt;=60%,Diagnóstico!$C$62,IF(C8&gt;=20%,Diagnóstico!$C$61,Diagnóstico!$C$60)))</f>
        <v>Desarrollo Nulo</v>
      </c>
    </row>
    <row r="9" spans="2:13" x14ac:dyDescent="0.25">
      <c r="B9" s="11" t="s">
        <v>64</v>
      </c>
      <c r="C9" s="6">
        <f>Diagnóstico!D33</f>
        <v>0</v>
      </c>
      <c r="D9" s="4" t="str">
        <f>IF(C9="","",IF('Gráfica Consolidado General'!C9&gt;=60%,Diagnóstico!$C$62,IF(C9&gt;=20%,Diagnóstico!$C$61,Diagnóstico!$C$60)))</f>
        <v>Desarrollo Nulo</v>
      </c>
    </row>
    <row r="10" spans="2:13" x14ac:dyDescent="0.25">
      <c r="B10" s="11" t="s">
        <v>65</v>
      </c>
      <c r="C10" s="6">
        <f>Diagnóstico!D45</f>
        <v>0</v>
      </c>
      <c r="D10" s="4" t="str">
        <f>IF(C10="","",IF('Gráfica Consolidado General'!C10&gt;=60%,Diagnóstico!$C$62,IF(C10&gt;=20%,Diagnóstico!$C$61,Diagnóstico!$C$60)))</f>
        <v>Desarrollo Nulo</v>
      </c>
    </row>
    <row r="11" spans="2:13" x14ac:dyDescent="0.25">
      <c r="B11" s="11" t="s">
        <v>66</v>
      </c>
      <c r="C11" s="6">
        <f>Diagnóstico!D57</f>
        <v>0</v>
      </c>
      <c r="D11" s="4" t="str">
        <f>IF(C11="","",IF('Gráfica Consolidado General'!C11&gt;=60%,Diagnóstico!$C$62,IF(C11&gt;=20%,Diagnóstico!$C$61,Diagnóstico!$C$60)))</f>
        <v>Desarrollo Nulo</v>
      </c>
    </row>
    <row r="12" spans="2:13" x14ac:dyDescent="0.25">
      <c r="B12" s="69" t="str">
        <f>IF(C12="","",IF('Gráfica Consolidado General'!C12&gt;=60%,Diagnóstico!$C$62,IF(C12&gt;=20%,Diagnóstico!$C$61,Diagnóstico!$C$60)))</f>
        <v/>
      </c>
      <c r="C12" s="70"/>
      <c r="D12" s="71"/>
    </row>
    <row r="13" spans="2:13" ht="36" customHeight="1" x14ac:dyDescent="0.25">
      <c r="B13" s="2" t="s">
        <v>67</v>
      </c>
      <c r="C13" s="19">
        <f>AVERAGE(C8:C11)</f>
        <v>0</v>
      </c>
      <c r="D13" s="9" t="str">
        <f>IF(C13="","",IF('Gráfica Consolidado General'!C13&gt;=60%,Diagnóstico!$C$62,IF(C13&gt;=20%,Diagnóstico!$C$61,Diagnóstico!$C$60)))</f>
        <v>Desarrollo Nulo</v>
      </c>
    </row>
  </sheetData>
  <sheetProtection algorithmName="SHA-512" hashValue="KQJWg1YBVJxNzVcZ8gxNIufREa6LCjbHpirLzaF4cNRacSiAalVwNUKOV9V+rc+wN4EeKLPV3QXLPpjtrccgiw==" saltValue="R42lVcOujaQypQEFPvJQ6Q==" spinCount="100000" sheet="1" objects="1" scenarios="1"/>
  <mergeCells count="2">
    <mergeCell ref="B12:D12"/>
    <mergeCell ref="B3:M3"/>
  </mergeCells>
  <conditionalFormatting sqref="D8:D11 B12 D13">
    <cfRule type="containsText" dxfId="3" priority="1" operator="containsText" text="Desarrollo Alto">
      <formula>NOT(ISERROR(SEARCH("Desarrollo Alto",B8)))</formula>
    </cfRule>
    <cfRule type="containsText" dxfId="2" priority="2" operator="containsText" text="Desarrollo Nulo">
      <formula>NOT(ISERROR(SEARCH("Desarrollo Nulo",B8)))</formula>
    </cfRule>
    <cfRule type="containsText" dxfId="1" priority="3" operator="containsText" text="Desarrollo Medio">
      <formula>NOT(ISERROR(SEARCH("Desarrollo Medio",B8)))</formula>
    </cfRule>
    <cfRule type="containsText" dxfId="0" priority="4" operator="containsText" text="Desarrollo Alto">
      <formula>NOT(ISERROR(SEARCH("Desarrollo Alto",B8)))</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8F723-FD2E-47BD-B646-E3EA19DD2552}">
  <dimension ref="B2:W5"/>
  <sheetViews>
    <sheetView showGridLines="0" topLeftCell="A37" zoomScale="85" zoomScaleNormal="85" workbookViewId="0">
      <selection activeCell="U3" sqref="U3"/>
    </sheetView>
  </sheetViews>
  <sheetFormatPr baseColWidth="10" defaultRowHeight="15" x14ac:dyDescent="0.25"/>
  <cols>
    <col min="1" max="16384" width="11.42578125" style="3"/>
  </cols>
  <sheetData>
    <row r="2" spans="2:23" ht="31.5" x14ac:dyDescent="0.5">
      <c r="B2" s="72" t="s">
        <v>69</v>
      </c>
      <c r="C2" s="72"/>
      <c r="D2" s="72"/>
      <c r="E2" s="72"/>
      <c r="F2" s="72"/>
      <c r="G2" s="72"/>
      <c r="H2" s="72"/>
      <c r="I2" s="72"/>
      <c r="J2" s="72"/>
      <c r="K2" s="72"/>
      <c r="L2" s="72"/>
      <c r="M2" s="72"/>
      <c r="N2" s="72"/>
      <c r="O2" s="72"/>
      <c r="P2" s="72"/>
      <c r="Q2" s="72"/>
      <c r="R2" s="72"/>
      <c r="S2" s="72"/>
      <c r="T2" s="72"/>
      <c r="U2" s="72"/>
      <c r="V2" s="72"/>
      <c r="W2" s="72"/>
    </row>
    <row r="5" spans="2:23" ht="21" x14ac:dyDescent="0.35">
      <c r="B5" s="73" t="s">
        <v>58</v>
      </c>
      <c r="C5" s="73"/>
      <c r="D5" s="73"/>
      <c r="E5" s="73"/>
      <c r="F5" s="73"/>
      <c r="G5" s="73"/>
      <c r="H5" s="73"/>
      <c r="I5" s="73"/>
      <c r="J5" s="73"/>
      <c r="K5" s="73"/>
      <c r="L5" s="73"/>
      <c r="M5" s="73" t="s">
        <v>59</v>
      </c>
      <c r="N5" s="73"/>
      <c r="O5" s="73"/>
      <c r="P5" s="73"/>
      <c r="Q5" s="73"/>
      <c r="R5" s="73"/>
      <c r="S5" s="73"/>
      <c r="T5" s="73"/>
      <c r="U5" s="73"/>
      <c r="V5" s="73"/>
      <c r="W5" s="73"/>
    </row>
  </sheetData>
  <sheetProtection algorithmName="SHA-512" hashValue="/pbXAWu2KsIc6mrnWnZb1MBma01Mwji+6jr/lARxHAbMpMN7jKODFgEnz17PyPdbohnDR7ADfXk1GAF44g077g==" saltValue="GrTazeaSHdJnMfPdJ27vcA==" spinCount="100000" sheet="1" objects="1" scenarios="1"/>
  <mergeCells count="3">
    <mergeCell ref="B5:L5"/>
    <mergeCell ref="M5:W5"/>
    <mergeCell ref="B2:W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Datos de la Unidad Productiva</vt:lpstr>
      <vt:lpstr>Diagnóstico</vt:lpstr>
      <vt:lpstr>Línea Base</vt:lpstr>
      <vt:lpstr>Gráfica Consolidado General</vt:lpstr>
      <vt:lpstr>Graficas por área</vt:lpstr>
      <vt:lpstr>'Línea Base'!_Hlk99456938</vt:lpstr>
    </vt:vector>
  </TitlesOfParts>
  <Company>SENA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Fernando Hoyos</dc:creator>
  <cp:lastModifiedBy>JUAN MANUEL</cp:lastModifiedBy>
  <cp:lastPrinted>2022-07-30T00:09:42Z</cp:lastPrinted>
  <dcterms:created xsi:type="dcterms:W3CDTF">2022-04-26T16:57:04Z</dcterms:created>
  <dcterms:modified xsi:type="dcterms:W3CDTF">2023-12-10T21:55:50Z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2022-11-10T15:36:09Z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b4464845-523e-419b-b07c-e97428d52554</vt:lpwstr>
  </property>
  <property fmtid="{D5CDD505-2E9C-101B-9397-08002B2CF9AE}" pid="8" name="MSIP_Label_1299739c-ad3d-4908-806e-4d91151a6e13_ContentBits">
    <vt:lpwstr>0</vt:lpwstr>
  </property>
</Properties>
</file>