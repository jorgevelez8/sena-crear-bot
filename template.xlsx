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mc:AlternateContent xmlns:mc="http://schemas.openxmlformats.org/markup-compatibility/2006">
    <mc:Choice Requires="x15">
      <x15ac:absPath xmlns:x15ac="http://schemas.microsoft.com/office/spreadsheetml/2010/11/ac" url="C:\Users\noahk\Desktop\2026\documentos emprendimiento PVCA\"/>
    </mc:Choice>
  </mc:AlternateContent>
  <xr:revisionPtr revIDLastSave="0" documentId="8_{2531A445-44FA-4ADD-AE51-CEFE73C5C360}" xr6:coauthVersionLast="47" xr6:coauthVersionMax="47" xr10:uidLastSave="{00000000-0000-0000-0000-000000000000}"/>
  <workbookProtection workbookPassword="ED11" lockStructure="1"/>
  <bookViews>
    <workbookView xWindow="-120" yWindow="-120" windowWidth="29040" windowHeight="15720" activeTab="5"/>
  </bookViews>
  <sheets>
    <sheet name="Dep-Mun" sheetId="4" state="hidden" r:id="rId1"/>
    <sheet name="TIPO PN" sheetId="8" state="hidden" r:id="rId2"/>
    <sheet name="Sectores EC" sheetId="7" state="hidden" r:id="rId3"/>
    <sheet name="Sectores EP" sheetId="6" state="hidden" r:id="rId4"/>
    <sheet name="PROYECTO" sheetId="1" r:id="rId5"/>
    <sheet name="GRUPO ASOCIATIVO" sheetId="5" r:id="rId6"/>
    <sheet name="MODELO FINANCIERO" sheetId="3" r:id="rId7"/>
    <sheet name="Hoja2" sheetId="2" state="hidden" r:id="rId8"/>
  </sheets>
  <externalReferences>
    <externalReference r:id="rId9"/>
  </externalReferences>
  <definedNames>
    <definedName name="ACTIVIDADES_ARTÍSTICAS_DE_ENTRETENIMIENTO_Y_RECREACIÓN">'Sectores EP'!$R$2:$R$18</definedName>
    <definedName name="ACTIVIDADES_DE_ATENCIÓN_DE_LA_SALUD_HUMANA_Y_DE_ASISTENCIA_SOCIAL">'Sectores EP'!$Q$2:$Q$13</definedName>
    <definedName name="ACTIVIDADES_DE_SERVICIOS_ADMINISTRATIVOS_Y_DE_APOYO">'Sectores EP'!$N$2:$N$27</definedName>
    <definedName name="ACTIVIDADES_FINANCIERAS_Y_DE_SEGUROS">'Sectores EP'!$K$2:$K$32</definedName>
    <definedName name="ACTIVIDADES_INMOBILIARIAS">'Sectores EP'!$L$2:$L$3</definedName>
    <definedName name="ACTIVIDADES_PROFESIONALES_CIENTÍFICAS_Y_TÉCNICAS">'Sectores EP'!$M$2:$M$15</definedName>
    <definedName name="ADMINISTRACIÓN_PÚBLICA_Y_DEFENSA_PLANES_DE_SEGURIDAD_SOCIAL_DE_AFILIACIÓN_OBLIGATORIA">'Sectores EP'!$O$2:$O$11</definedName>
    <definedName name="AGRICULTURA_GANADERÍA_CAZA_SILVICULTURA_Y_PESCA">'Sectores EP'!$A$2:$A$37</definedName>
    <definedName name="Agroindustria">'Sectores EC'!$B$2:$B$22</definedName>
    <definedName name="Agropecuario">'Sectores EC'!$A$2:$A$37</definedName>
    <definedName name="ALOJAMIENTO_Y_SERVICIOS_DE_COMIDA">'Sectores EP'!$I$2:$I$16</definedName>
    <definedName name="Amazonas">'Dep-Mun'!$A$2:$A$12</definedName>
    <definedName name="Antioquia">'Dep-Mun'!$B$2:$B$126</definedName>
    <definedName name="Arauca">'Dep-Mun'!$C$2:$C$8</definedName>
    <definedName name="Archipiélago_De_San_Andrés">'Dep-Mun'!$D$2:$D$3</definedName>
    <definedName name="_xlnm.Print_Area" localSheetId="4">PROYECTO!$A$1:$AX$546</definedName>
    <definedName name="Artesanías" localSheetId="2">'Sectores EC'!$C$2:$C$25</definedName>
    <definedName name="Artesanías">'Sectores EP'!$C$24:$C$129</definedName>
    <definedName name="Atlántico">'Dep-Mun'!$E$2:$E$24</definedName>
    <definedName name="Bogotá_D.C.">'Dep-Mun'!$F$2</definedName>
    <definedName name="Bolívar">'Dep-Mun'!$G$2:$G$47</definedName>
    <definedName name="Boyacá">'Dep-Mun'!$H$2:$H$124</definedName>
    <definedName name="Caldas">'Dep-Mun'!$I$2:$I$28</definedName>
    <definedName name="Caquetá">'Dep-Mun'!$J$2:$J$17</definedName>
    <definedName name="Casanare">'Dep-Mun'!$K$2:$K$20</definedName>
    <definedName name="Cauca">'Dep-Mun'!$L$2:$L$43</definedName>
    <definedName name="Cesar">'Dep-Mun'!$M$2:$M$26</definedName>
    <definedName name="Chocó">'Dep-Mun'!$N$2:$N$32</definedName>
    <definedName name="COMERCIO_AL_POR_MAYOR_Y_AL_POR_MENOR_REPARACIÓN_DE_VEHÍCULOS_AUTOMOTORES_Y_MOTOCICLETAS">'Sectores EP'!$G$2:$G$58</definedName>
    <definedName name="COMERCIO_EC">'Sectores EC'!$F$2:$F$8</definedName>
    <definedName name="CONSTRUCCIÓN">'Sectores EP'!$F$2:$F$13</definedName>
    <definedName name="Córdoba">'Dep-Mun'!$O$2:$O$31</definedName>
    <definedName name="Cundinamarca">'Dep-Mun'!$P$2:$P$117</definedName>
    <definedName name="DEPARTAMENTOS" localSheetId="2">'[1]Dep-Mun'!$A$1:$AG$1</definedName>
    <definedName name="DEPARTAMENTOS">'Dep-Mun'!$A$1:$AG$1</definedName>
    <definedName name="DISTRIBUCIÓN_DE_AGUA_EVACUACIÓN_Y_TRATAMIENTO_DE_AGUAS_RESIDUALES_GESTIÓN_DE_DESECHOS_Y_ACTIVIDADES_DE_SANEAMIENTO_AMBIENTAL">'Sectores EP'!$E$2:$E$9</definedName>
    <definedName name="ECONOMÍA_CAMPESINA">'TIPO PN'!$A$9:$A$14</definedName>
    <definedName name="ECONOMÍA_POPULAR">'TIPO PN'!$B$9:$B$27</definedName>
    <definedName name="EDUCACIÓN">'Sectores EP'!$P$2:$P$17</definedName>
    <definedName name="EXPLOTACIÓN_DE_MINAS_Y_CANTERAS">'Sectores EP'!$B$2:$B$18</definedName>
    <definedName name="Guainía">'Dep-Mun'!$Q$2:$Q$9</definedName>
    <definedName name="Guaviare">'Dep-Mun'!$R$2:$R$5</definedName>
    <definedName name="Huila">'Dep-Mun'!$S$2:$S$38</definedName>
    <definedName name="INDUSTRIAS_MANUFACTURERAS">'Sectores EP'!$C$2:$C$141</definedName>
    <definedName name="INFORMACIÓN_Y_COMUNICACIONES">'Sectores EP'!$J$2:$J$24</definedName>
    <definedName name="La_Guajira">'Dep-Mun'!$T$2:$T$16</definedName>
    <definedName name="Magdalena">'Dep-Mun'!$U$2:$U$31</definedName>
    <definedName name="Medio_Ambiente">'Sectores EC'!$E$2:$E$8</definedName>
    <definedName name="Meta">'Dep-Mun'!$V$2:$V$30</definedName>
    <definedName name="Nariño">'Dep-Mun'!$W$2:$W$65</definedName>
    <definedName name="Norte_De_Santander">'Dep-Mun'!$X$2:$X$41</definedName>
    <definedName name="OTRAS_ACTIVIDADES_DE_SERVICIOS">'Sectores EP'!$S$2:$S$18</definedName>
    <definedName name="Putumayo">'Dep-Mun'!$Y$2:$Y$14</definedName>
    <definedName name="Quindío">'Dep-Mun'!$Z$2:$Z$13</definedName>
    <definedName name="Risaralda">'Dep-Mun'!$AA$2:$AA$15</definedName>
    <definedName name="Santander">'Dep-Mun'!$AB$2:$AB$88</definedName>
    <definedName name="SECTORES" localSheetId="2">'Sectores EC'!$A$1:$F$1</definedName>
    <definedName name="SECTORES">'Sectores EP'!$A$1:$S$1</definedName>
    <definedName name="Sucre">'Dep-Mun'!$AC$2:$AC$27</definedName>
    <definedName name="SUMINISTRO_DE_ELECTRICIDAD_GAS_VAPOR_Y_AIRE_ACONDICIONADO">'Sectores EP'!$D$2:$D$7</definedName>
    <definedName name="TIPO_PN">'TIPO PN'!$A$8:$B$8</definedName>
    <definedName name="_xlnm.Print_Titles" localSheetId="5">'GRUPO ASOCIATIVO'!$13:$15</definedName>
    <definedName name="Tolima">'Dep-Mun'!$AD$2:$AD$48</definedName>
    <definedName name="TRANSPORTE_Y_ALMACENAMIENTO">'Sectores EP'!$H$2:$H$23</definedName>
    <definedName name="Turismo">'Sectores EC'!$D$2:$D$11</definedName>
    <definedName name="Valle_Del_Cauca">'Dep-Mun'!$AE$2:$AE$43</definedName>
    <definedName name="Vaupés">'Dep-Mun'!$AF$2:$AF$7</definedName>
    <definedName name="Vichada">'Dep-Mun'!$AG$2:$AG$5</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Z190" i="1" l="1"/>
  <c r="D18" i="3"/>
  <c r="J26" i="2"/>
  <c r="J27" i="2"/>
  <c r="L16" i="2"/>
  <c r="L18" i="2" s="1"/>
  <c r="J22" i="2" s="1"/>
  <c r="J20" i="2"/>
  <c r="H18" i="2"/>
  <c r="H17" i="2"/>
  <c r="H16" i="2"/>
  <c r="B12" i="3"/>
  <c r="F22" i="3" s="1"/>
  <c r="AK391" i="1"/>
  <c r="AS391" i="1" s="1"/>
  <c r="AK392" i="1"/>
  <c r="AS392" i="1" s="1"/>
  <c r="AK393" i="1"/>
  <c r="AS393" i="1" s="1"/>
  <c r="AK390" i="1"/>
  <c r="AS390" i="1" s="1"/>
  <c r="S289" i="1"/>
  <c r="AK389" i="1"/>
  <c r="AK394" i="1" s="1"/>
  <c r="E16" i="3" s="1"/>
  <c r="F16" i="3" s="1"/>
  <c r="AG216" i="1"/>
  <c r="Y357" i="1" s="1"/>
  <c r="AG209" i="1"/>
  <c r="AG201" i="1"/>
  <c r="T429" i="1" s="1"/>
  <c r="AD429" i="1" s="1"/>
  <c r="AD444" i="1" s="1"/>
  <c r="AO213" i="1"/>
  <c r="AO214" i="1"/>
  <c r="AO215" i="1"/>
  <c r="AO212" i="1"/>
  <c r="AO206" i="1"/>
  <c r="AO207" i="1"/>
  <c r="AO208" i="1"/>
  <c r="AO205" i="1"/>
  <c r="AO199" i="1"/>
  <c r="AO200" i="1"/>
  <c r="AO198" i="1"/>
  <c r="K499" i="1" s="1"/>
  <c r="W229" i="1"/>
  <c r="W251" i="1" s="1"/>
  <c r="W244" i="1"/>
  <c r="K288" i="1"/>
  <c r="AD430" i="1"/>
  <c r="AD431" i="1"/>
  <c r="AE449" i="1"/>
  <c r="C6" i="3" s="1"/>
  <c r="AD432" i="1"/>
  <c r="AD433" i="1"/>
  <c r="AD434" i="1"/>
  <c r="AD435" i="1"/>
  <c r="AD436" i="1"/>
  <c r="AD437" i="1"/>
  <c r="AD438" i="1"/>
  <c r="AD439" i="1"/>
  <c r="AD440" i="1"/>
  <c r="AD441" i="1"/>
  <c r="AD442" i="1"/>
  <c r="AD443" i="1"/>
  <c r="T305" i="1"/>
  <c r="W230" i="1"/>
  <c r="W267" i="1" s="1"/>
  <c r="W261" i="1"/>
  <c r="W263" i="1"/>
  <c r="W231" i="1"/>
  <c r="W279" i="1" s="1"/>
  <c r="AC231" i="1"/>
  <c r="AI278" i="1" s="1"/>
  <c r="AD412" i="1"/>
  <c r="AD413" i="1"/>
  <c r="AD414" i="1"/>
  <c r="AD415" i="1"/>
  <c r="AD416" i="1"/>
  <c r="AD417" i="1"/>
  <c r="AD418" i="1"/>
  <c r="AD419" i="1"/>
  <c r="AD420" i="1"/>
  <c r="AD421" i="1"/>
  <c r="AD422" i="1"/>
  <c r="AD404" i="1"/>
  <c r="AD405" i="1"/>
  <c r="AD406" i="1"/>
  <c r="AD407" i="1"/>
  <c r="AD408" i="1"/>
  <c r="AD409" i="1"/>
  <c r="AD410" i="1"/>
  <c r="AD423" i="1"/>
  <c r="AE448" i="1" s="1"/>
  <c r="AD411" i="1"/>
  <c r="K241" i="1"/>
  <c r="K253" i="1" s="1"/>
  <c r="K242" i="1"/>
  <c r="K243" i="1"/>
  <c r="K244" i="1"/>
  <c r="K245" i="1"/>
  <c r="K246" i="1"/>
  <c r="K247" i="1"/>
  <c r="K248" i="1"/>
  <c r="K249" i="1"/>
  <c r="K250" i="1"/>
  <c r="K251" i="1"/>
  <c r="K252" i="1"/>
  <c r="I383" i="1"/>
  <c r="M479" i="1"/>
  <c r="I481" i="1" s="1"/>
  <c r="Q479" i="1"/>
  <c r="U479" i="1"/>
  <c r="Y479" i="1"/>
  <c r="AC479" i="1"/>
  <c r="AG479" i="1"/>
  <c r="AK479" i="1"/>
  <c r="AO479" i="1"/>
  <c r="I479" i="1"/>
  <c r="AD403" i="1"/>
  <c r="Y358" i="1"/>
  <c r="AE358" i="1"/>
  <c r="AK358" i="1"/>
  <c r="Y359" i="1"/>
  <c r="AE359" i="1"/>
  <c r="AK359" i="1" s="1"/>
  <c r="Y360" i="1"/>
  <c r="AE360" i="1" s="1"/>
  <c r="AK360" i="1" s="1"/>
  <c r="Y361" i="1"/>
  <c r="AE361" i="1" s="1"/>
  <c r="AK361" i="1" s="1"/>
  <c r="Y362" i="1"/>
  <c r="AE362" i="1"/>
  <c r="AK362" i="1"/>
  <c r="Y363" i="1"/>
  <c r="AE363" i="1"/>
  <c r="AK363" i="1"/>
  <c r="Y364" i="1"/>
  <c r="AE364" i="1"/>
  <c r="AK364" i="1"/>
  <c r="Y365" i="1"/>
  <c r="AE365" i="1" s="1"/>
  <c r="AK365" i="1" s="1"/>
  <c r="Y366" i="1"/>
  <c r="AE366" i="1"/>
  <c r="AK366" i="1" s="1"/>
  <c r="AE289" i="1"/>
  <c r="G289" i="1"/>
  <c r="G271" i="1"/>
  <c r="AE271" i="1"/>
  <c r="S271" i="1"/>
  <c r="AE253" i="1"/>
  <c r="S253" i="1"/>
  <c r="G253" i="1"/>
  <c r="K502" i="1"/>
  <c r="K278" i="1"/>
  <c r="K289" i="1" s="1"/>
  <c r="K279" i="1"/>
  <c r="K280" i="1"/>
  <c r="K281" i="1"/>
  <c r="K282" i="1"/>
  <c r="K283" i="1"/>
  <c r="K284" i="1"/>
  <c r="K285" i="1"/>
  <c r="K286" i="1"/>
  <c r="K287" i="1"/>
  <c r="K277" i="1"/>
  <c r="AG346" i="1"/>
  <c r="W346" i="1"/>
  <c r="W348" i="1" s="1"/>
  <c r="W350" i="1" s="1"/>
  <c r="M346" i="1"/>
  <c r="AE340" i="1"/>
  <c r="AE339" i="1"/>
  <c r="AE338" i="1"/>
  <c r="AE337" i="1"/>
  <c r="AE336" i="1"/>
  <c r="AE341" i="1" s="1"/>
  <c r="AG347" i="1" s="1"/>
  <c r="AG348" i="1" s="1"/>
  <c r="AG350" i="1" s="1"/>
  <c r="AE331" i="1"/>
  <c r="AE330" i="1"/>
  <c r="AE329" i="1"/>
  <c r="AE328" i="1"/>
  <c r="AE327" i="1"/>
  <c r="AE332" i="1"/>
  <c r="W347" i="1"/>
  <c r="AE319" i="1"/>
  <c r="AE320" i="1"/>
  <c r="AE321" i="1"/>
  <c r="AE322" i="1"/>
  <c r="AE318" i="1"/>
  <c r="AE323" i="1" s="1"/>
  <c r="M347" i="1" s="1"/>
  <c r="AE297" i="1"/>
  <c r="AE304" i="1"/>
  <c r="AE303" i="1"/>
  <c r="AE302" i="1"/>
  <c r="AE305" i="1" s="1"/>
  <c r="D17" i="3" s="1"/>
  <c r="E17" i="3" s="1"/>
  <c r="F17" i="3" s="1"/>
  <c r="AE301" i="1"/>
  <c r="AE300" i="1"/>
  <c r="AE299" i="1"/>
  <c r="AE298" i="1"/>
  <c r="K260" i="1"/>
  <c r="K261" i="1"/>
  <c r="K271" i="1" s="1"/>
  <c r="K262" i="1"/>
  <c r="K263" i="1"/>
  <c r="K264" i="1"/>
  <c r="K265" i="1"/>
  <c r="K266" i="1"/>
  <c r="K267" i="1"/>
  <c r="K268" i="1"/>
  <c r="K269" i="1"/>
  <c r="K270" i="1"/>
  <c r="K259" i="1"/>
  <c r="A231" i="1"/>
  <c r="AG345" i="1"/>
  <c r="A230" i="1"/>
  <c r="M255" i="1"/>
  <c r="A229" i="1"/>
  <c r="M345" i="1"/>
  <c r="M237" i="1"/>
  <c r="Z316" i="1"/>
  <c r="A155" i="1"/>
  <c r="A141" i="1"/>
  <c r="A127" i="1"/>
  <c r="H19" i="2"/>
  <c r="L17" i="2"/>
  <c r="J21" i="2" s="1"/>
  <c r="J23" i="2" s="1"/>
  <c r="W264" i="1"/>
  <c r="W243" i="1"/>
  <c r="W270" i="1"/>
  <c r="Z325" i="1"/>
  <c r="W345" i="1"/>
  <c r="AC230" i="1"/>
  <c r="AI260" i="1" s="1"/>
  <c r="AI261" i="1"/>
  <c r="W268" i="1"/>
  <c r="W260" i="1"/>
  <c r="W265" i="1"/>
  <c r="W259" i="1"/>
  <c r="AI268" i="1"/>
  <c r="AI270" i="1"/>
  <c r="AI269" i="1"/>
  <c r="AI266" i="1"/>
  <c r="AI262" i="1"/>
  <c r="AI284" i="1"/>
  <c r="AI287" i="1"/>
  <c r="AI288" i="1"/>
  <c r="AI277" i="1"/>
  <c r="AI282" i="1"/>
  <c r="W248" i="1"/>
  <c r="W241" i="1"/>
  <c r="M273" i="1"/>
  <c r="Z334" i="1"/>
  <c r="W280" i="1"/>
  <c r="W252" i="1"/>
  <c r="W246" i="1"/>
  <c r="AC229" i="1"/>
  <c r="AI241" i="1" s="1"/>
  <c r="W245" i="1"/>
  <c r="AI267" i="1"/>
  <c r="AI263" i="1"/>
  <c r="AI259" i="1"/>
  <c r="W242" i="1"/>
  <c r="W250" i="1"/>
  <c r="AI245" i="1"/>
  <c r="AI244" i="1"/>
  <c r="AI246" i="1"/>
  <c r="AI247" i="1"/>
  <c r="AI250" i="1"/>
  <c r="AI249" i="1"/>
  <c r="AI248" i="1"/>
  <c r="AI251" i="1"/>
  <c r="M348" i="1" l="1"/>
  <c r="M350" i="1" s="1"/>
  <c r="M351" i="1" s="1"/>
  <c r="Q481" i="1"/>
  <c r="F15" i="3"/>
  <c r="W271" i="1"/>
  <c r="D15" i="3"/>
  <c r="E15" i="3"/>
  <c r="K503" i="1"/>
  <c r="D14" i="3"/>
  <c r="AE450" i="1"/>
  <c r="C5" i="3"/>
  <c r="C28" i="3" s="1"/>
  <c r="D6" i="3"/>
  <c r="AE357" i="1"/>
  <c r="Y367" i="1"/>
  <c r="D20" i="3" s="1"/>
  <c r="AI280" i="1"/>
  <c r="AS389" i="1"/>
  <c r="K498" i="1" s="1"/>
  <c r="AI281" i="1"/>
  <c r="AI265" i="1"/>
  <c r="AI271" i="1" s="1"/>
  <c r="D16" i="3"/>
  <c r="W278" i="1"/>
  <c r="AI242" i="1"/>
  <c r="W281" i="1"/>
  <c r="AI283" i="1"/>
  <c r="W269" i="1"/>
  <c r="AI264" i="1"/>
  <c r="W282" i="1"/>
  <c r="AS449" i="1"/>
  <c r="W249" i="1"/>
  <c r="W284" i="1"/>
  <c r="W266" i="1"/>
  <c r="W247" i="1"/>
  <c r="W253" i="1" s="1"/>
  <c r="AI279" i="1"/>
  <c r="AI289" i="1" s="1"/>
  <c r="W287" i="1"/>
  <c r="AI243" i="1"/>
  <c r="AI253" i="1" s="1"/>
  <c r="AI286" i="1"/>
  <c r="AI252" i="1"/>
  <c r="AI285" i="1"/>
  <c r="W286" i="1"/>
  <c r="W288" i="1"/>
  <c r="W285" i="1"/>
  <c r="D22" i="3"/>
  <c r="E22" i="3"/>
  <c r="W277" i="1"/>
  <c r="W262" i="1"/>
  <c r="W283" i="1"/>
  <c r="F14" i="3" l="1"/>
  <c r="F19" i="3" s="1"/>
  <c r="D19" i="3"/>
  <c r="D21" i="3" s="1"/>
  <c r="W352" i="1"/>
  <c r="M352" i="1"/>
  <c r="AG352" i="1"/>
  <c r="AE367" i="1"/>
  <c r="E20" i="3" s="1"/>
  <c r="AK357" i="1"/>
  <c r="AK367" i="1" s="1"/>
  <c r="F20" i="3" s="1"/>
  <c r="W289" i="1"/>
  <c r="E14" i="3" s="1"/>
  <c r="E19" i="3" s="1"/>
  <c r="E21" i="3" s="1"/>
  <c r="D11" i="3"/>
  <c r="AE452" i="1"/>
  <c r="K501" i="1"/>
  <c r="K500" i="1"/>
  <c r="AE453" i="1"/>
  <c r="C7" i="3"/>
  <c r="D10" i="3"/>
  <c r="E28" i="3" l="1"/>
  <c r="E23" i="3"/>
  <c r="D23" i="3"/>
  <c r="D28" i="3"/>
  <c r="F21" i="3"/>
  <c r="F23" i="3" l="1"/>
  <c r="F28" i="3"/>
  <c r="B31" i="3"/>
  <c r="C31" i="3"/>
</calcChain>
</file>

<file path=xl/sharedStrings.xml><?xml version="1.0" encoding="utf-8"?>
<sst xmlns="http://schemas.openxmlformats.org/spreadsheetml/2006/main" count="2390" uniqueCount="1905">
  <si>
    <t>NOMBRES Y APELLIDOS DEL LÍDER DEL PROYECTO</t>
  </si>
  <si>
    <t>TIPO DE DOCUMENTO</t>
  </si>
  <si>
    <t>NÚMERO</t>
  </si>
  <si>
    <t>NOMBRE DEL PROYECTO</t>
  </si>
  <si>
    <t>DEPARTAMENTO</t>
  </si>
  <si>
    <t>MUNICIPIO</t>
  </si>
  <si>
    <t>¿Cuántas personas hacen parte del equipo asociativo?</t>
  </si>
  <si>
    <t>¿Es un proyecto asociativo?</t>
  </si>
  <si>
    <t>SI</t>
  </si>
  <si>
    <t>NO</t>
  </si>
  <si>
    <t>Amazonas</t>
  </si>
  <si>
    <t>Antioquia</t>
  </si>
  <si>
    <t>Arauca</t>
  </si>
  <si>
    <t>Atlántico</t>
  </si>
  <si>
    <t>Bolívar</t>
  </si>
  <si>
    <t>Boyacá</t>
  </si>
  <si>
    <t>Caldas</t>
  </si>
  <si>
    <t>Caquetá</t>
  </si>
  <si>
    <t>Casanare</t>
  </si>
  <si>
    <t>Cauca</t>
  </si>
  <si>
    <t>Cesar</t>
  </si>
  <si>
    <t>Córdoba</t>
  </si>
  <si>
    <t>Cundinamarca</t>
  </si>
  <si>
    <t>Chocó</t>
  </si>
  <si>
    <t>Guainía</t>
  </si>
  <si>
    <t>Guaviare</t>
  </si>
  <si>
    <t>Huila</t>
  </si>
  <si>
    <t>Magdalena</t>
  </si>
  <si>
    <t>Meta</t>
  </si>
  <si>
    <t>Nariño</t>
  </si>
  <si>
    <t>Putumayo</t>
  </si>
  <si>
    <t>Risaralda</t>
  </si>
  <si>
    <t>San Andrés</t>
  </si>
  <si>
    <t>Santander</t>
  </si>
  <si>
    <t>Sucre</t>
  </si>
  <si>
    <t>Tolima</t>
  </si>
  <si>
    <t>Vaupés</t>
  </si>
  <si>
    <t>Vichada</t>
  </si>
  <si>
    <t>CC</t>
  </si>
  <si>
    <t>CE</t>
  </si>
  <si>
    <t>CLIENTE</t>
  </si>
  <si>
    <t>CONSUMIDOR</t>
  </si>
  <si>
    <t>2. PLANTEAMIENTO DEL PROBLEMA O NECESIDAD QUE SE PRETENDE SOLUCIONAR</t>
  </si>
  <si>
    <t>Nombre del competidor</t>
  </si>
  <si>
    <t>Desventajas</t>
  </si>
  <si>
    <t>Ventajas</t>
  </si>
  <si>
    <t>Producto o Servicio</t>
  </si>
  <si>
    <t>El proyecto consiste en:</t>
  </si>
  <si>
    <t>Nuestro:</t>
  </si>
  <si>
    <t>Que:</t>
  </si>
  <si>
    <t>Ayuda:</t>
  </si>
  <si>
    <t>Mediante:</t>
  </si>
  <si>
    <t>5. PRODUCTOS O SERVICIOS</t>
  </si>
  <si>
    <t>Nombre del producto o servicio</t>
  </si>
  <si>
    <t>Descripción</t>
  </si>
  <si>
    <t xml:space="preserve">Unidad de medida </t>
  </si>
  <si>
    <t>Unidad de presentación al cliente</t>
  </si>
  <si>
    <t>6. PROCESO TÉCNICO</t>
  </si>
  <si>
    <t>Actividad a realizar</t>
  </si>
  <si>
    <t>Tiempo para realizarla (Días, horas, minutos)</t>
  </si>
  <si>
    <t>Equipo o Maquinaria requerida</t>
  </si>
  <si>
    <t>Norma. Permiso, Licencia, Registro a cumplir</t>
  </si>
  <si>
    <t>Descripción del trámite a realizar</t>
  </si>
  <si>
    <t>Estrategia de comunicación
Indique la acción a realizar (Ejemplo: Página Web, Tarjetas, Pendones, entre otros)</t>
  </si>
  <si>
    <t>Estrategia de promoción</t>
  </si>
  <si>
    <t>Marque X</t>
  </si>
  <si>
    <t>Entrega puerta a puerta</t>
  </si>
  <si>
    <t>Muestra del producto</t>
  </si>
  <si>
    <t>Otra</t>
  </si>
  <si>
    <t>Ninguna</t>
  </si>
  <si>
    <t>¿Cuál?</t>
  </si>
  <si>
    <t>Punto de venta</t>
  </si>
  <si>
    <t>A domicilio</t>
  </si>
  <si>
    <t>Con distribuidores</t>
  </si>
  <si>
    <t>Otro</t>
  </si>
  <si>
    <t>Valor Unitario</t>
  </si>
  <si>
    <t>Cantidad</t>
  </si>
  <si>
    <t>Valor Total</t>
  </si>
  <si>
    <t>TOTAL</t>
  </si>
  <si>
    <t>Año 1</t>
  </si>
  <si>
    <t>Año 2</t>
  </si>
  <si>
    <t>Año 3</t>
  </si>
  <si>
    <t>Incremento</t>
  </si>
  <si>
    <t>Producto</t>
  </si>
  <si>
    <t>Indique el precio del producto o servicio para el primer año (Casillas sombreadas en gris)</t>
  </si>
  <si>
    <t>PRODUCTO 1</t>
  </si>
  <si>
    <t>Mes 1</t>
  </si>
  <si>
    <t>Mes 2</t>
  </si>
  <si>
    <t>Mes 3</t>
  </si>
  <si>
    <t>Mes 4</t>
  </si>
  <si>
    <t>Mes 5</t>
  </si>
  <si>
    <t>Mes 6</t>
  </si>
  <si>
    <t>Mes 7</t>
  </si>
  <si>
    <t>Mes 8</t>
  </si>
  <si>
    <t>Mes 9</t>
  </si>
  <si>
    <t>Mes 10</t>
  </si>
  <si>
    <t>Mes 11</t>
  </si>
  <si>
    <t>Mes 12</t>
  </si>
  <si>
    <t>Unidades</t>
  </si>
  <si>
    <t>Ingresos</t>
  </si>
  <si>
    <t>AÑO 1</t>
  </si>
  <si>
    <t>AÑO 2</t>
  </si>
  <si>
    <t>AÑO 3</t>
  </si>
  <si>
    <t>Indique las unidades (Cantidades) que tiene planeado vender mes a mes y para los próximos 3 años (Casillas sombreadas en gris)</t>
  </si>
  <si>
    <t>PRODUCTO 2</t>
  </si>
  <si>
    <t>10. COSTOS Y GASTOS</t>
  </si>
  <si>
    <t>COSTOS FIJOS</t>
  </si>
  <si>
    <t>COSTOS VARIABLES PRODUCTO 1</t>
  </si>
  <si>
    <t>Materia Prima</t>
  </si>
  <si>
    <t>Unidad de medida</t>
  </si>
  <si>
    <t>Valor unitario</t>
  </si>
  <si>
    <t>COSTOS VARIABLES PRODUCTO 2</t>
  </si>
  <si>
    <t>COSTOS VARIABLES PRODUCTO 3</t>
  </si>
  <si>
    <t>PRODUCTOS O SERVICIOS</t>
  </si>
  <si>
    <t>Precio de Venta</t>
  </si>
  <si>
    <t>Costo Variable</t>
  </si>
  <si>
    <t>Margen de contribución</t>
  </si>
  <si>
    <t>% Participación</t>
  </si>
  <si>
    <t>Margen de contribución ponderado</t>
  </si>
  <si>
    <t>PUNTO DE EQUILIBRIO
(Unidades totales)</t>
  </si>
  <si>
    <t>Diligencie únicamente el porcentaje de participación que tiene cada uno de los productos en las ventas totales (Celdas sombreadas en gris)</t>
  </si>
  <si>
    <t>PRODUCTO 3</t>
  </si>
  <si>
    <t>GASTOS DE ADMINISTRACIÓN Y VENTAS</t>
  </si>
  <si>
    <t>Legal</t>
  </si>
  <si>
    <t>Comercial</t>
  </si>
  <si>
    <t>Ventas</t>
  </si>
  <si>
    <t>Técnico</t>
  </si>
  <si>
    <t>Ambiental</t>
  </si>
  <si>
    <t>Categoría</t>
  </si>
  <si>
    <t>Aporte Emprendedor</t>
  </si>
  <si>
    <t>Fondo Emprender</t>
  </si>
  <si>
    <t>TOTAL PROYECTO</t>
  </si>
  <si>
    <t>TOTAL APORTE AL EMPRENDEDOR</t>
  </si>
  <si>
    <t>TOTAL SOLICITADO A FONDO EMPRENDER</t>
  </si>
  <si>
    <t>Rol o cargo</t>
  </si>
  <si>
    <t>Económico</t>
  </si>
  <si>
    <t>Social</t>
  </si>
  <si>
    <t>Tecnológico</t>
  </si>
  <si>
    <t>Empleos a crear</t>
  </si>
  <si>
    <t>Contrapartidas</t>
  </si>
  <si>
    <t>Eventos de mercadeo</t>
  </si>
  <si>
    <t>Presupuesto</t>
  </si>
  <si>
    <t>Producción a generar Año 1</t>
  </si>
  <si>
    <t>Ventas a generar Año 1</t>
  </si>
  <si>
    <t>Número o Valor</t>
  </si>
  <si>
    <t>INDICADOR</t>
  </si>
  <si>
    <t xml:space="preserve">Nombre </t>
  </si>
  <si>
    <t>VALOR DEL PROYECTO</t>
  </si>
  <si>
    <t>VALOR DEL APORTE</t>
  </si>
  <si>
    <t>VALOR SOLICITADO AL FONDO</t>
  </si>
  <si>
    <t>ESTADO DE RESULTADOS</t>
  </si>
  <si>
    <t>Utilidad Bruta</t>
  </si>
  <si>
    <t>Utilidad Operativa</t>
  </si>
  <si>
    <t>Utilidad Neta Final</t>
  </si>
  <si>
    <t>FLUJO DE CAJA</t>
  </si>
  <si>
    <t>Flujo de caja para evaluación</t>
  </si>
  <si>
    <t>TIR</t>
  </si>
  <si>
    <t xml:space="preserve">Publicidad </t>
  </si>
  <si>
    <t>Cuánto vale para el primer año</t>
  </si>
  <si>
    <t>Archipiélago_De_San_Andrés</t>
  </si>
  <si>
    <t>Bogotá_D.C.</t>
  </si>
  <si>
    <t>La_Guajira</t>
  </si>
  <si>
    <t>Norte_De_Santander</t>
  </si>
  <si>
    <t>Quindío</t>
  </si>
  <si>
    <t>Valle_Del_Cauca</t>
  </si>
  <si>
    <t>El Encanto</t>
  </si>
  <si>
    <t>Medellín</t>
  </si>
  <si>
    <t>Barranquilla</t>
  </si>
  <si>
    <t>Bogotá, D.C.</t>
  </si>
  <si>
    <t>Cartagena De Indias</t>
  </si>
  <si>
    <t>Tunja</t>
  </si>
  <si>
    <t>Manizales</t>
  </si>
  <si>
    <t>Florencia</t>
  </si>
  <si>
    <t>Yopal</t>
  </si>
  <si>
    <t>Popayán</t>
  </si>
  <si>
    <t>Valledupar</t>
  </si>
  <si>
    <t>Quibdó</t>
  </si>
  <si>
    <t>Montería</t>
  </si>
  <si>
    <t>Agua De Dios</t>
  </si>
  <si>
    <t>San Felipe</t>
  </si>
  <si>
    <t>San José Del Guaviare</t>
  </si>
  <si>
    <t>Neiva</t>
  </si>
  <si>
    <t>Riohacha</t>
  </si>
  <si>
    <t>Santa Marta</t>
  </si>
  <si>
    <t>Villavicencio</t>
  </si>
  <si>
    <t>Pasto</t>
  </si>
  <si>
    <t>San José De Cúcuta</t>
  </si>
  <si>
    <t>Mocoa</t>
  </si>
  <si>
    <t>Armenia</t>
  </si>
  <si>
    <t>Pereira</t>
  </si>
  <si>
    <t>Bucaramanga</t>
  </si>
  <si>
    <t>Sincelejo</t>
  </si>
  <si>
    <t>Ibagué</t>
  </si>
  <si>
    <t>Santiago De Cali</t>
  </si>
  <si>
    <t>Pacoa</t>
  </si>
  <si>
    <t>Puerto Carreño</t>
  </si>
  <si>
    <t>La Chorrera</t>
  </si>
  <si>
    <t>Abejorral</t>
  </si>
  <si>
    <t>Arauquita</t>
  </si>
  <si>
    <t>Providencia</t>
  </si>
  <si>
    <t>Baranoa</t>
  </si>
  <si>
    <t>Achí</t>
  </si>
  <si>
    <t>Almeida</t>
  </si>
  <si>
    <t>Aguadas</t>
  </si>
  <si>
    <t>Albania</t>
  </si>
  <si>
    <t>Aguazul</t>
  </si>
  <si>
    <t>Almaguer</t>
  </si>
  <si>
    <t>Aguachica</t>
  </si>
  <si>
    <t>Acandí</t>
  </si>
  <si>
    <t>Ayapel</t>
  </si>
  <si>
    <t>Albán</t>
  </si>
  <si>
    <t>Puerto Colombia</t>
  </si>
  <si>
    <t>Calamar</t>
  </si>
  <si>
    <t>Acevedo</t>
  </si>
  <si>
    <t>Algarrobo</t>
  </si>
  <si>
    <t>Acacías</t>
  </si>
  <si>
    <t>Ábrego</t>
  </si>
  <si>
    <t>Colón</t>
  </si>
  <si>
    <t>Buenavista</t>
  </si>
  <si>
    <t>Apía</t>
  </si>
  <si>
    <t>Aguada</t>
  </si>
  <si>
    <t>Alpujarra</t>
  </si>
  <si>
    <t>Alcalá</t>
  </si>
  <si>
    <t>Papunahua</t>
  </si>
  <si>
    <t>La Primavera</t>
  </si>
  <si>
    <t>La Pedrera</t>
  </si>
  <si>
    <t>Abriaquí</t>
  </si>
  <si>
    <t>Cravo Norte</t>
  </si>
  <si>
    <t>Campo De La Cruz</t>
  </si>
  <si>
    <t>Altos Del Rosario</t>
  </si>
  <si>
    <t>Aquitania</t>
  </si>
  <si>
    <t>Anserma</t>
  </si>
  <si>
    <t>Belén De Los Andaquíes</t>
  </si>
  <si>
    <t>Chámeza</t>
  </si>
  <si>
    <t>Argelia</t>
  </si>
  <si>
    <t>Agustín Codazzi</t>
  </si>
  <si>
    <t>Alto Baudó</t>
  </si>
  <si>
    <t>Anapoima</t>
  </si>
  <si>
    <t>La Guadalupe</t>
  </si>
  <si>
    <t>El Retorno</t>
  </si>
  <si>
    <t>Agrado</t>
  </si>
  <si>
    <t>Barrancas</t>
  </si>
  <si>
    <t>Aracataca</t>
  </si>
  <si>
    <t>Barranca De Upía</t>
  </si>
  <si>
    <t>Aldana</t>
  </si>
  <si>
    <t>Arboledas</t>
  </si>
  <si>
    <t>Orito</t>
  </si>
  <si>
    <t>Calarcá</t>
  </si>
  <si>
    <t>Balboa</t>
  </si>
  <si>
    <t>Caimito</t>
  </si>
  <si>
    <t>Alvarado</t>
  </si>
  <si>
    <t>Andalucía</t>
  </si>
  <si>
    <t>Yavaraté</t>
  </si>
  <si>
    <t>Santa Rosalía</t>
  </si>
  <si>
    <t>La Victoria</t>
  </si>
  <si>
    <t>Alejandría</t>
  </si>
  <si>
    <t>Fortul</t>
  </si>
  <si>
    <t>Candelaria</t>
  </si>
  <si>
    <t>Arenal</t>
  </si>
  <si>
    <t>Arcabuco</t>
  </si>
  <si>
    <t>Aranzazu</t>
  </si>
  <si>
    <t>Cartagena Del Chairá</t>
  </si>
  <si>
    <t>Hato Corozal</t>
  </si>
  <si>
    <t>Astrea</t>
  </si>
  <si>
    <t>Atrato</t>
  </si>
  <si>
    <t>Canalete</t>
  </si>
  <si>
    <t>Anolaima</t>
  </si>
  <si>
    <t>Cacahual</t>
  </si>
  <si>
    <t>Miraflores</t>
  </si>
  <si>
    <t>Aipe</t>
  </si>
  <si>
    <t>Dibulla</t>
  </si>
  <si>
    <t>Ariguaní</t>
  </si>
  <si>
    <t>Cabuyaro</t>
  </si>
  <si>
    <t>Ancuya</t>
  </si>
  <si>
    <t>Bochalema</t>
  </si>
  <si>
    <t>Puerto Asís</t>
  </si>
  <si>
    <t>Circasia</t>
  </si>
  <si>
    <t>Belén De Umbría</t>
  </si>
  <si>
    <t>Aratoca</t>
  </si>
  <si>
    <t>Colosó</t>
  </si>
  <si>
    <t>Ambalema</t>
  </si>
  <si>
    <t>Ansermanuevo</t>
  </si>
  <si>
    <t>Mitú</t>
  </si>
  <si>
    <t>Cumaribo</t>
  </si>
  <si>
    <t>Mirití - Paraná</t>
  </si>
  <si>
    <t>Amagá</t>
  </si>
  <si>
    <t>Puerto Rondón</t>
  </si>
  <si>
    <t>Galapa</t>
  </si>
  <si>
    <t>Arjona</t>
  </si>
  <si>
    <t>Belén</t>
  </si>
  <si>
    <t>Belalcázar</t>
  </si>
  <si>
    <t>Curillo</t>
  </si>
  <si>
    <t>La Salina</t>
  </si>
  <si>
    <t>Becerril</t>
  </si>
  <si>
    <t>Bagadó</t>
  </si>
  <si>
    <t>Cereté</t>
  </si>
  <si>
    <t>Arbeláez</t>
  </si>
  <si>
    <t>Pana Pana</t>
  </si>
  <si>
    <t>Algeciras</t>
  </si>
  <si>
    <t>Distracción</t>
  </si>
  <si>
    <t>Cerro De San Antonio</t>
  </si>
  <si>
    <t>Castilla La Nueva</t>
  </si>
  <si>
    <t>Arboleda</t>
  </si>
  <si>
    <t>Bucarasica</t>
  </si>
  <si>
    <t>Puerto Caicedo</t>
  </si>
  <si>
    <t>Dosquebradas</t>
  </si>
  <si>
    <t>Barbosa</t>
  </si>
  <si>
    <t>Corozal</t>
  </si>
  <si>
    <t>Anzoátegui</t>
  </si>
  <si>
    <t>Carurú</t>
  </si>
  <si>
    <t>Puerto Alegría</t>
  </si>
  <si>
    <t>Amalfi</t>
  </si>
  <si>
    <t>Saravena</t>
  </si>
  <si>
    <t>Juan De Acosta</t>
  </si>
  <si>
    <t>Arroyohondo</t>
  </si>
  <si>
    <t>Berbeo</t>
  </si>
  <si>
    <t>Chinchiná</t>
  </si>
  <si>
    <t>El Doncello</t>
  </si>
  <si>
    <t>Maní</t>
  </si>
  <si>
    <t>Buenos Aires</t>
  </si>
  <si>
    <t>Bosconia</t>
  </si>
  <si>
    <t>Bahía Solano</t>
  </si>
  <si>
    <t>Chimá</t>
  </si>
  <si>
    <t>Beltrán</t>
  </si>
  <si>
    <t>Morichal</t>
  </si>
  <si>
    <t>Altamira</t>
  </si>
  <si>
    <t>El Molino</t>
  </si>
  <si>
    <t>Chivolo</t>
  </si>
  <si>
    <t>Cubarral</t>
  </si>
  <si>
    <t>Barbacoas</t>
  </si>
  <si>
    <t>Cácota</t>
  </si>
  <si>
    <t>Puerto Guzmán</t>
  </si>
  <si>
    <t>Filandia</t>
  </si>
  <si>
    <t>Guática</t>
  </si>
  <si>
    <t>Barichara</t>
  </si>
  <si>
    <t>Coveñas</t>
  </si>
  <si>
    <t>Armero</t>
  </si>
  <si>
    <t>Taraira</t>
  </si>
  <si>
    <t>Puerto Arica</t>
  </si>
  <si>
    <t>Andes</t>
  </si>
  <si>
    <t>Tame</t>
  </si>
  <si>
    <t>Luruaco</t>
  </si>
  <si>
    <t>Barranco De Loba</t>
  </si>
  <si>
    <t>Betéitiva</t>
  </si>
  <si>
    <t>Filadelfia</t>
  </si>
  <si>
    <t>El Paujíl</t>
  </si>
  <si>
    <t>Monterrey</t>
  </si>
  <si>
    <t>Cajibío</t>
  </si>
  <si>
    <t>Chimichagua</t>
  </si>
  <si>
    <t>Bajo Baudó</t>
  </si>
  <si>
    <t>Chinú</t>
  </si>
  <si>
    <t>Bituima</t>
  </si>
  <si>
    <t>Inírida</t>
  </si>
  <si>
    <t>Baraya</t>
  </si>
  <si>
    <t>Fonseca</t>
  </si>
  <si>
    <t>Ciénaga</t>
  </si>
  <si>
    <t>Cumaral</t>
  </si>
  <si>
    <t>Cáchira</t>
  </si>
  <si>
    <t>Puerto Leguízamo</t>
  </si>
  <si>
    <t>Génova</t>
  </si>
  <si>
    <t>La Celia</t>
  </si>
  <si>
    <t>Barrancabermeja</t>
  </si>
  <si>
    <t>Chalán</t>
  </si>
  <si>
    <t>Ataco</t>
  </si>
  <si>
    <t>Buenaventura</t>
  </si>
  <si>
    <t>Puerto Santander</t>
  </si>
  <si>
    <t>Angelópolis</t>
  </si>
  <si>
    <t>Malambo</t>
  </si>
  <si>
    <t>Boavita</t>
  </si>
  <si>
    <t>La Dorada</t>
  </si>
  <si>
    <t>La Montañita</t>
  </si>
  <si>
    <t>Nunchía</t>
  </si>
  <si>
    <t>Caldono</t>
  </si>
  <si>
    <t>Chiriguaná</t>
  </si>
  <si>
    <t>Bojayá</t>
  </si>
  <si>
    <t>Ciénaga De Oro</t>
  </si>
  <si>
    <t>Bojacá</t>
  </si>
  <si>
    <t>Barrancominas</t>
  </si>
  <si>
    <t>Campoalegre</t>
  </si>
  <si>
    <t>Hatonuevo</t>
  </si>
  <si>
    <t>Concordia</t>
  </si>
  <si>
    <t>El Calvario</t>
  </si>
  <si>
    <t>Buesaco</t>
  </si>
  <si>
    <t>Chinácota</t>
  </si>
  <si>
    <t>Sibundoy</t>
  </si>
  <si>
    <t>La Tebaida</t>
  </si>
  <si>
    <t>La Virginia</t>
  </si>
  <si>
    <t>Betulia</t>
  </si>
  <si>
    <t>El Roble</t>
  </si>
  <si>
    <t>Cajamarca</t>
  </si>
  <si>
    <t>Guadalajara De Buga</t>
  </si>
  <si>
    <t>Tarapacá</t>
  </si>
  <si>
    <t>Angostura</t>
  </si>
  <si>
    <t>Manatí</t>
  </si>
  <si>
    <t>Cantagallo</t>
  </si>
  <si>
    <t>La Merced</t>
  </si>
  <si>
    <t>Milán</t>
  </si>
  <si>
    <t>Orocué</t>
  </si>
  <si>
    <t>Caloto</t>
  </si>
  <si>
    <t>Curumaní</t>
  </si>
  <si>
    <t>El Cantón Del San Pablo</t>
  </si>
  <si>
    <t>Cotorra</t>
  </si>
  <si>
    <t>Cabrera</t>
  </si>
  <si>
    <t>Colombia</t>
  </si>
  <si>
    <t>La Jagua Del Pilar</t>
  </si>
  <si>
    <t>El Banco</t>
  </si>
  <si>
    <t>El Castillo</t>
  </si>
  <si>
    <t>Chitagá</t>
  </si>
  <si>
    <t>San Francisco</t>
  </si>
  <si>
    <t>Montenegro</t>
  </si>
  <si>
    <t>Marsella</t>
  </si>
  <si>
    <t>Galeras</t>
  </si>
  <si>
    <t>Carmen De Apicalá</t>
  </si>
  <si>
    <t>Bugalagrande</t>
  </si>
  <si>
    <t>Leticia</t>
  </si>
  <si>
    <t>Anorí</t>
  </si>
  <si>
    <t>Palmar De Varela</t>
  </si>
  <si>
    <t>Cicuco</t>
  </si>
  <si>
    <t>Briceño</t>
  </si>
  <si>
    <t>Manzanares</t>
  </si>
  <si>
    <t>Morelia</t>
  </si>
  <si>
    <t>Paz De Ariporo</t>
  </si>
  <si>
    <t>Corinto</t>
  </si>
  <si>
    <t>El Copey</t>
  </si>
  <si>
    <t>Carmen Del Darién</t>
  </si>
  <si>
    <t>La Apartada</t>
  </si>
  <si>
    <t>Cachipay</t>
  </si>
  <si>
    <t>Elías</t>
  </si>
  <si>
    <t>Maicao</t>
  </si>
  <si>
    <t>El Piñón</t>
  </si>
  <si>
    <t>El Dorado</t>
  </si>
  <si>
    <t>Consacá</t>
  </si>
  <si>
    <t>Convención</t>
  </si>
  <si>
    <t>San Miguel</t>
  </si>
  <si>
    <t>Pijao</t>
  </si>
  <si>
    <t>Mistrató</t>
  </si>
  <si>
    <t>Guaranda</t>
  </si>
  <si>
    <t>Casabianca</t>
  </si>
  <si>
    <t>Caicedonia</t>
  </si>
  <si>
    <t>Puerto Nariño</t>
  </si>
  <si>
    <t>Santa Fé De Antioquia</t>
  </si>
  <si>
    <t>Piojó</t>
  </si>
  <si>
    <t>Marmato</t>
  </si>
  <si>
    <t>Puerto Rico</t>
  </si>
  <si>
    <t>Pore</t>
  </si>
  <si>
    <t>El Tambo</t>
  </si>
  <si>
    <t>El Paso</t>
  </si>
  <si>
    <t>Cértegui</t>
  </si>
  <si>
    <t>Lorica</t>
  </si>
  <si>
    <t>Cajicá</t>
  </si>
  <si>
    <t>Garzón</t>
  </si>
  <si>
    <t>Manaure</t>
  </si>
  <si>
    <t>El Retén</t>
  </si>
  <si>
    <t>Fuente De Oro</t>
  </si>
  <si>
    <t>Contadero</t>
  </si>
  <si>
    <t>Cucutilla</t>
  </si>
  <si>
    <t>Santiago</t>
  </si>
  <si>
    <t>Quimbaya</t>
  </si>
  <si>
    <t>Pueblo Rico</t>
  </si>
  <si>
    <t>California</t>
  </si>
  <si>
    <t>La Unión</t>
  </si>
  <si>
    <t>Chaparral</t>
  </si>
  <si>
    <t>Calima</t>
  </si>
  <si>
    <t>Anzá</t>
  </si>
  <si>
    <t>Polonuevo</t>
  </si>
  <si>
    <t>Clemencia</t>
  </si>
  <si>
    <t>Busbanzá</t>
  </si>
  <si>
    <t>Marquetalia</t>
  </si>
  <si>
    <t>San José Del Fragua</t>
  </si>
  <si>
    <t>Recetor</t>
  </si>
  <si>
    <t>Gamarra</t>
  </si>
  <si>
    <t>Condoto</t>
  </si>
  <si>
    <t>Los Córdobas</t>
  </si>
  <si>
    <t>Caparrapí</t>
  </si>
  <si>
    <t>Gigante</t>
  </si>
  <si>
    <t>San Juan Del Cesar</t>
  </si>
  <si>
    <t>Fundación</t>
  </si>
  <si>
    <t>Granada</t>
  </si>
  <si>
    <t>Durania</t>
  </si>
  <si>
    <t>Valle Del Guamuez</t>
  </si>
  <si>
    <t>Salento</t>
  </si>
  <si>
    <t>Quinchía</t>
  </si>
  <si>
    <t>Capitanejo</t>
  </si>
  <si>
    <t>Los Palmitos</t>
  </si>
  <si>
    <t>Coello</t>
  </si>
  <si>
    <t>Apartadó</t>
  </si>
  <si>
    <t>Ponedera</t>
  </si>
  <si>
    <t>El Carmen De Bolívar</t>
  </si>
  <si>
    <t>Marulanda</t>
  </si>
  <si>
    <t>San Vicente Del Caguán</t>
  </si>
  <si>
    <t>Sabanalarga</t>
  </si>
  <si>
    <t>Guachené</t>
  </si>
  <si>
    <t>González</t>
  </si>
  <si>
    <t>El Carmen De Atrato</t>
  </si>
  <si>
    <t>Momil</t>
  </si>
  <si>
    <t>Cáqueza</t>
  </si>
  <si>
    <t>Guadalupe</t>
  </si>
  <si>
    <t>Uribia</t>
  </si>
  <si>
    <t>Guamal</t>
  </si>
  <si>
    <t>Cuaspud Carlosama</t>
  </si>
  <si>
    <t>El Carmen</t>
  </si>
  <si>
    <t>Villagarzón</t>
  </si>
  <si>
    <t>Santa Rosa De Cabal</t>
  </si>
  <si>
    <t>Carcasí</t>
  </si>
  <si>
    <t>Majagual</t>
  </si>
  <si>
    <t>Coyaima</t>
  </si>
  <si>
    <t>Cartago</t>
  </si>
  <si>
    <t>Arboletes</t>
  </si>
  <si>
    <t>El Guamo</t>
  </si>
  <si>
    <t>Campohermoso</t>
  </si>
  <si>
    <t>Neira</t>
  </si>
  <si>
    <t>Solano</t>
  </si>
  <si>
    <t>Sácama</t>
  </si>
  <si>
    <t>Guapi</t>
  </si>
  <si>
    <t>La Gloria</t>
  </si>
  <si>
    <t>El Litoral Del San Juan</t>
  </si>
  <si>
    <t>Montelíbano</t>
  </si>
  <si>
    <t>Carmen De Carupa</t>
  </si>
  <si>
    <t>Hobo</t>
  </si>
  <si>
    <t>Urumita</t>
  </si>
  <si>
    <t>Nueva Granada</t>
  </si>
  <si>
    <t>Mapiripán</t>
  </si>
  <si>
    <t>Cumbal</t>
  </si>
  <si>
    <t>El Tarra</t>
  </si>
  <si>
    <t>Santuario</t>
  </si>
  <si>
    <t>Cepitá</t>
  </si>
  <si>
    <t>Morroa</t>
  </si>
  <si>
    <t>Cunday</t>
  </si>
  <si>
    <t>Dagua</t>
  </si>
  <si>
    <t>Repelón</t>
  </si>
  <si>
    <t>El Peñón</t>
  </si>
  <si>
    <t>Cerinza</t>
  </si>
  <si>
    <t>Norcasia</t>
  </si>
  <si>
    <t>Solita</t>
  </si>
  <si>
    <t>San Luis De Palenque</t>
  </si>
  <si>
    <t>Inzá</t>
  </si>
  <si>
    <t>La Jagua De Ibirico</t>
  </si>
  <si>
    <t>Istmina</t>
  </si>
  <si>
    <t>Moñitos</t>
  </si>
  <si>
    <t>Chaguaní</t>
  </si>
  <si>
    <t>Íquira</t>
  </si>
  <si>
    <t>Villanueva</t>
  </si>
  <si>
    <t>Pedraza</t>
  </si>
  <si>
    <t>Mesetas</t>
  </si>
  <si>
    <t>Cumbitara</t>
  </si>
  <si>
    <t>El Zulia</t>
  </si>
  <si>
    <t>Cerrito</t>
  </si>
  <si>
    <t>Ovejas</t>
  </si>
  <si>
    <t>Dolores</t>
  </si>
  <si>
    <t>El Águila</t>
  </si>
  <si>
    <t>Sabanagrande</t>
  </si>
  <si>
    <t>Hatillo De Loba</t>
  </si>
  <si>
    <t>Chinavita</t>
  </si>
  <si>
    <t>Pácora</t>
  </si>
  <si>
    <t>Valparaíso</t>
  </si>
  <si>
    <t>Támara</t>
  </si>
  <si>
    <t>Jambaló</t>
  </si>
  <si>
    <t>Manaure Balcón Del Cesar</t>
  </si>
  <si>
    <t>Juradó</t>
  </si>
  <si>
    <t>Planeta Rica</t>
  </si>
  <si>
    <t>Chía</t>
  </si>
  <si>
    <t>Isnos</t>
  </si>
  <si>
    <t>Pijiño Del Carmen</t>
  </si>
  <si>
    <t>La Macarena</t>
  </si>
  <si>
    <t>Chachagüí</t>
  </si>
  <si>
    <t>Gramalote</t>
  </si>
  <si>
    <t>Charalá</t>
  </si>
  <si>
    <t>Palmito</t>
  </si>
  <si>
    <t>Espinal</t>
  </si>
  <si>
    <t>El Cairo</t>
  </si>
  <si>
    <t>Magangué</t>
  </si>
  <si>
    <t>Chiquinquirá</t>
  </si>
  <si>
    <t>Palestina</t>
  </si>
  <si>
    <t>Tauramena</t>
  </si>
  <si>
    <t>La Sierra</t>
  </si>
  <si>
    <t>Pailitas</t>
  </si>
  <si>
    <t>Lloró</t>
  </si>
  <si>
    <t>Pueblo Nuevo</t>
  </si>
  <si>
    <t>Chipaque</t>
  </si>
  <si>
    <t>La Argentina</t>
  </si>
  <si>
    <t>Pivijay</t>
  </si>
  <si>
    <t>Uribe</t>
  </si>
  <si>
    <t>El Charco</t>
  </si>
  <si>
    <t>Hacarí</t>
  </si>
  <si>
    <t>Charta</t>
  </si>
  <si>
    <t>Sampués</t>
  </si>
  <si>
    <t>Falan</t>
  </si>
  <si>
    <t>El Cerrito</t>
  </si>
  <si>
    <t>Belmira</t>
  </si>
  <si>
    <t>Santa Lucía</t>
  </si>
  <si>
    <t>Mahates</t>
  </si>
  <si>
    <t>Chiscas</t>
  </si>
  <si>
    <t>Pensilvania</t>
  </si>
  <si>
    <t>Trinidad</t>
  </si>
  <si>
    <t>La Vega</t>
  </si>
  <si>
    <t>Pelaya</t>
  </si>
  <si>
    <t>Medio Atrato</t>
  </si>
  <si>
    <t>Puerto Escondido</t>
  </si>
  <si>
    <t>Choachí</t>
  </si>
  <si>
    <t>La Plata</t>
  </si>
  <si>
    <t>Plato</t>
  </si>
  <si>
    <t>Lejanías</t>
  </si>
  <si>
    <t>El Peñol</t>
  </si>
  <si>
    <t>Herrán</t>
  </si>
  <si>
    <t>Chima</t>
  </si>
  <si>
    <t>San Benito Abad</t>
  </si>
  <si>
    <t>Flandes</t>
  </si>
  <si>
    <t>El Dovio</t>
  </si>
  <si>
    <t>Bello</t>
  </si>
  <si>
    <t>Santo Tomás</t>
  </si>
  <si>
    <t>Margarita</t>
  </si>
  <si>
    <t>Chita</t>
  </si>
  <si>
    <t>Riosucio</t>
  </si>
  <si>
    <t>López De Micay</t>
  </si>
  <si>
    <t>Pueblo Bello</t>
  </si>
  <si>
    <t>Medio Baudó</t>
  </si>
  <si>
    <t>Puerto Libertador</t>
  </si>
  <si>
    <t>Chocontá</t>
  </si>
  <si>
    <t>Nátaga</t>
  </si>
  <si>
    <t>Puebloviejo</t>
  </si>
  <si>
    <t>Puerto Concordia</t>
  </si>
  <si>
    <t>El Rosario</t>
  </si>
  <si>
    <t>Labateca</t>
  </si>
  <si>
    <t>Chipatá</t>
  </si>
  <si>
    <t>San Juan De Betulia</t>
  </si>
  <si>
    <t>Fresno</t>
  </si>
  <si>
    <t>Florida</t>
  </si>
  <si>
    <t>Betania</t>
  </si>
  <si>
    <t>Soledad</t>
  </si>
  <si>
    <t>María La Baja</t>
  </si>
  <si>
    <t>Chitaraque</t>
  </si>
  <si>
    <t>Mercaderes</t>
  </si>
  <si>
    <t>Río De Oro</t>
  </si>
  <si>
    <t>Medio San Juan</t>
  </si>
  <si>
    <t>Purísima De La Concepción</t>
  </si>
  <si>
    <t>Cogua</t>
  </si>
  <si>
    <t>Oporapa</t>
  </si>
  <si>
    <t>Remolino</t>
  </si>
  <si>
    <t>Puerto Gaitán</t>
  </si>
  <si>
    <t>El Tablón De Gómez</t>
  </si>
  <si>
    <t>La Esperanza</t>
  </si>
  <si>
    <t>Cimitarra</t>
  </si>
  <si>
    <t>San Marcos</t>
  </si>
  <si>
    <t>Guamo</t>
  </si>
  <si>
    <t>Ginebra</t>
  </si>
  <si>
    <t>Suan</t>
  </si>
  <si>
    <t>Montecristo</t>
  </si>
  <si>
    <t>Chivatá</t>
  </si>
  <si>
    <t>Salamina</t>
  </si>
  <si>
    <t>Miranda</t>
  </si>
  <si>
    <t>La Paz</t>
  </si>
  <si>
    <t>Nóvita</t>
  </si>
  <si>
    <t>Sahagún</t>
  </si>
  <si>
    <t>Cota</t>
  </si>
  <si>
    <t>Paicol</t>
  </si>
  <si>
    <t>Sabanas De San Ángel</t>
  </si>
  <si>
    <t>Puerto López</t>
  </si>
  <si>
    <t>La Playa</t>
  </si>
  <si>
    <t>Concepción</t>
  </si>
  <si>
    <t>San Onofre</t>
  </si>
  <si>
    <t>Herveo</t>
  </si>
  <si>
    <t>Guacarí</t>
  </si>
  <si>
    <t>Ciudad Bolívar</t>
  </si>
  <si>
    <t>Tubará</t>
  </si>
  <si>
    <t>Santa Cruz De Mompox</t>
  </si>
  <si>
    <t>Ciénega</t>
  </si>
  <si>
    <t>Samaná</t>
  </si>
  <si>
    <t>Morales</t>
  </si>
  <si>
    <t>San Alberto</t>
  </si>
  <si>
    <t>Nuevo Belén De Bajirá *</t>
  </si>
  <si>
    <t>San Andrés De Sotavento</t>
  </si>
  <si>
    <t>Cucunubá</t>
  </si>
  <si>
    <t>Palermo</t>
  </si>
  <si>
    <t>Puerto Lleras</t>
  </si>
  <si>
    <t>Funes</t>
  </si>
  <si>
    <t>Los Patios</t>
  </si>
  <si>
    <t>Confines</t>
  </si>
  <si>
    <t>San Pedro</t>
  </si>
  <si>
    <t>Honda</t>
  </si>
  <si>
    <t>Jamundí</t>
  </si>
  <si>
    <t>Usiacurí</t>
  </si>
  <si>
    <t>Cómbita</t>
  </si>
  <si>
    <t>San José</t>
  </si>
  <si>
    <t>Padilla</t>
  </si>
  <si>
    <t>San Diego</t>
  </si>
  <si>
    <t>Nuquí</t>
  </si>
  <si>
    <t>San Antero</t>
  </si>
  <si>
    <t>El Colegio</t>
  </si>
  <si>
    <t>San Sebastián De Buenavista</t>
  </si>
  <si>
    <t>Guachucal</t>
  </si>
  <si>
    <t>Lourdes</t>
  </si>
  <si>
    <t>Contratación</t>
  </si>
  <si>
    <t>San Luis De Sincé</t>
  </si>
  <si>
    <t>Icononzo</t>
  </si>
  <si>
    <t>La Cumbre</t>
  </si>
  <si>
    <t>Buriticá</t>
  </si>
  <si>
    <t>Norosí</t>
  </si>
  <si>
    <t>Coper</t>
  </si>
  <si>
    <t>Supía</t>
  </si>
  <si>
    <t>Páez</t>
  </si>
  <si>
    <t>San Martín</t>
  </si>
  <si>
    <t>Río Iró</t>
  </si>
  <si>
    <t>San Bernardo Del Viento</t>
  </si>
  <si>
    <t>Pital</t>
  </si>
  <si>
    <t>San Zenón</t>
  </si>
  <si>
    <t>Restrepo</t>
  </si>
  <si>
    <t>Guaitarilla</t>
  </si>
  <si>
    <t>Mutiscua</t>
  </si>
  <si>
    <t>Coromoro</t>
  </si>
  <si>
    <t>Lérida</t>
  </si>
  <si>
    <t>Cáceres</t>
  </si>
  <si>
    <t>Pinillos</t>
  </si>
  <si>
    <t>Corrales</t>
  </si>
  <si>
    <t>Victoria</t>
  </si>
  <si>
    <t>Patía</t>
  </si>
  <si>
    <t>Tamalameque</t>
  </si>
  <si>
    <t>Río Quito</t>
  </si>
  <si>
    <t>San Carlos</t>
  </si>
  <si>
    <t>El Rosal</t>
  </si>
  <si>
    <t>Pitalito</t>
  </si>
  <si>
    <t>Santa Ana</t>
  </si>
  <si>
    <t>San Carlos De Guaroa</t>
  </si>
  <si>
    <t>Gualmatán</t>
  </si>
  <si>
    <t>Ocaña</t>
  </si>
  <si>
    <t>Curití</t>
  </si>
  <si>
    <t>Santiago De Tolú</t>
  </si>
  <si>
    <t>Líbano</t>
  </si>
  <si>
    <t>Caicedo</t>
  </si>
  <si>
    <t>Regidor</t>
  </si>
  <si>
    <t>Covarachía</t>
  </si>
  <si>
    <t>Villamaría</t>
  </si>
  <si>
    <t>Piamonte</t>
  </si>
  <si>
    <t>San José De Uré</t>
  </si>
  <si>
    <t>Facatativá</t>
  </si>
  <si>
    <t>Rivera</t>
  </si>
  <si>
    <t>Santa Bárbara De Pinto</t>
  </si>
  <si>
    <t>San Juan De Arama</t>
  </si>
  <si>
    <t>Iles</t>
  </si>
  <si>
    <t>Pamplona</t>
  </si>
  <si>
    <t>El Carmen De Chucurí</t>
  </si>
  <si>
    <t>San José De Toluviejo</t>
  </si>
  <si>
    <t>San Sebastián De Mariquita</t>
  </si>
  <si>
    <t>Obando</t>
  </si>
  <si>
    <t>Río Viejo</t>
  </si>
  <si>
    <t>Cubará</t>
  </si>
  <si>
    <t>Viterbo</t>
  </si>
  <si>
    <t>Piendamó - Tunía</t>
  </si>
  <si>
    <t>San José Del Palmar</t>
  </si>
  <si>
    <t>San Pelayo</t>
  </si>
  <si>
    <t>Fómeque</t>
  </si>
  <si>
    <t>Saladoblanco</t>
  </si>
  <si>
    <t>Sitionuevo</t>
  </si>
  <si>
    <t>San Juanito</t>
  </si>
  <si>
    <t>Imués</t>
  </si>
  <si>
    <t>Pamplonita</t>
  </si>
  <si>
    <t>El Guacamayo</t>
  </si>
  <si>
    <t>Melgar</t>
  </si>
  <si>
    <t>Palmira</t>
  </si>
  <si>
    <t>Campamento</t>
  </si>
  <si>
    <t>San Cristóbal</t>
  </si>
  <si>
    <t>Cucaita</t>
  </si>
  <si>
    <t>Puerto Tejada</t>
  </si>
  <si>
    <t>Sipí</t>
  </si>
  <si>
    <t>Tierralta</t>
  </si>
  <si>
    <t>Fosca</t>
  </si>
  <si>
    <t>San Agustín</t>
  </si>
  <si>
    <t>Tenerife</t>
  </si>
  <si>
    <t>Ipiales</t>
  </si>
  <si>
    <t>Murillo</t>
  </si>
  <si>
    <t>Pradera</t>
  </si>
  <si>
    <t>Cañasgordas</t>
  </si>
  <si>
    <t>San Estanislao</t>
  </si>
  <si>
    <t>Cuítiva</t>
  </si>
  <si>
    <t>Puracé</t>
  </si>
  <si>
    <t>Tadó</t>
  </si>
  <si>
    <t>Tuchín</t>
  </si>
  <si>
    <t>Funza</t>
  </si>
  <si>
    <t>Santa María</t>
  </si>
  <si>
    <t>Zapayán</t>
  </si>
  <si>
    <t>Vistahermosa</t>
  </si>
  <si>
    <t>La Cruz</t>
  </si>
  <si>
    <t>Ragonvalia</t>
  </si>
  <si>
    <t>El Playón</t>
  </si>
  <si>
    <t>Natagaima</t>
  </si>
  <si>
    <t>Caracolí</t>
  </si>
  <si>
    <t>San Fernando</t>
  </si>
  <si>
    <t>Chíquiza</t>
  </si>
  <si>
    <t>Rosas</t>
  </si>
  <si>
    <t>Unguía</t>
  </si>
  <si>
    <t>Valencia</t>
  </si>
  <si>
    <t>Fúquene</t>
  </si>
  <si>
    <t>Suaza</t>
  </si>
  <si>
    <t>Zona Bananera</t>
  </si>
  <si>
    <t>La Florida</t>
  </si>
  <si>
    <t>Salazar</t>
  </si>
  <si>
    <t>Encino</t>
  </si>
  <si>
    <t>Ortega</t>
  </si>
  <si>
    <t>Riofrío</t>
  </si>
  <si>
    <t>Caramanta</t>
  </si>
  <si>
    <t>San Jacinto</t>
  </si>
  <si>
    <t>Chivor</t>
  </si>
  <si>
    <t>San Sebastián</t>
  </si>
  <si>
    <t>Unión Panamericana</t>
  </si>
  <si>
    <t>Fusagasugá</t>
  </si>
  <si>
    <t>Tarqui</t>
  </si>
  <si>
    <t>La Llanada</t>
  </si>
  <si>
    <t>San Calixto</t>
  </si>
  <si>
    <t>Enciso</t>
  </si>
  <si>
    <t>Palocabildo</t>
  </si>
  <si>
    <t>Roldanillo</t>
  </si>
  <si>
    <t>Carepa</t>
  </si>
  <si>
    <t>San Jacinto Del Cauca</t>
  </si>
  <si>
    <t>Duitama</t>
  </si>
  <si>
    <t>Santander De Quilichao</t>
  </si>
  <si>
    <t>Gachalá</t>
  </si>
  <si>
    <t>Tesalia</t>
  </si>
  <si>
    <t>La Tola</t>
  </si>
  <si>
    <t>San Cayetano</t>
  </si>
  <si>
    <t>Florián</t>
  </si>
  <si>
    <t>Piedras</t>
  </si>
  <si>
    <t>El Carmen De Viboral</t>
  </si>
  <si>
    <t>San Juan Nepomuceno</t>
  </si>
  <si>
    <t>El Cocuy</t>
  </si>
  <si>
    <t>Santa Rosa</t>
  </si>
  <si>
    <t>Gachancipá</t>
  </si>
  <si>
    <t>Tello</t>
  </si>
  <si>
    <t>Floridablanca</t>
  </si>
  <si>
    <t>Planadas</t>
  </si>
  <si>
    <t>Sevilla</t>
  </si>
  <si>
    <t>Carolina</t>
  </si>
  <si>
    <t>San Martín De Loba</t>
  </si>
  <si>
    <t>El Espino</t>
  </si>
  <si>
    <t>Silvia</t>
  </si>
  <si>
    <t>Gachetá</t>
  </si>
  <si>
    <t>Teruel</t>
  </si>
  <si>
    <t>Leiva</t>
  </si>
  <si>
    <t>Sardinata</t>
  </si>
  <si>
    <t>Galán</t>
  </si>
  <si>
    <t>Prado</t>
  </si>
  <si>
    <t>Toro</t>
  </si>
  <si>
    <t>Caucasia</t>
  </si>
  <si>
    <t>San Pablo</t>
  </si>
  <si>
    <t>Firavitoba</t>
  </si>
  <si>
    <t>Sotará Paispamba</t>
  </si>
  <si>
    <t>Gama</t>
  </si>
  <si>
    <t>Timaná</t>
  </si>
  <si>
    <t>Linares</t>
  </si>
  <si>
    <t>Silos</t>
  </si>
  <si>
    <t>Gámbita</t>
  </si>
  <si>
    <t>Purificación</t>
  </si>
  <si>
    <t>Trujillo</t>
  </si>
  <si>
    <t>Chigorodó</t>
  </si>
  <si>
    <t>Santa Catalina</t>
  </si>
  <si>
    <t>Floresta</t>
  </si>
  <si>
    <t>Suárez</t>
  </si>
  <si>
    <t>Girardot</t>
  </si>
  <si>
    <t>Villavieja</t>
  </si>
  <si>
    <t>Los Andes</t>
  </si>
  <si>
    <t>Teorama</t>
  </si>
  <si>
    <t>Girón</t>
  </si>
  <si>
    <t>Rioblanco</t>
  </si>
  <si>
    <t>Tuluá</t>
  </si>
  <si>
    <t>Cisneros</t>
  </si>
  <si>
    <t>Gachantivá</t>
  </si>
  <si>
    <t>Yaguará</t>
  </si>
  <si>
    <t>Magüí</t>
  </si>
  <si>
    <t>Tibú</t>
  </si>
  <si>
    <t>Guaca</t>
  </si>
  <si>
    <t>Roncesvalles</t>
  </si>
  <si>
    <t>Ulloa</t>
  </si>
  <si>
    <t>Cocorná</t>
  </si>
  <si>
    <t>Santa Rosa Del Sur</t>
  </si>
  <si>
    <t>Gámeza</t>
  </si>
  <si>
    <t>Timbío</t>
  </si>
  <si>
    <t>Guachetá</t>
  </si>
  <si>
    <t>Mallama</t>
  </si>
  <si>
    <t>Toledo</t>
  </si>
  <si>
    <t>Rovira</t>
  </si>
  <si>
    <t>Versalles</t>
  </si>
  <si>
    <t>Simití</t>
  </si>
  <si>
    <t>Garagoa</t>
  </si>
  <si>
    <t>Timbiquí</t>
  </si>
  <si>
    <t>Guaduas</t>
  </si>
  <si>
    <t>Mosquera</t>
  </si>
  <si>
    <t>Villa Caro</t>
  </si>
  <si>
    <t>Guapotá</t>
  </si>
  <si>
    <t>Saldaña</t>
  </si>
  <si>
    <t>Vijes</t>
  </si>
  <si>
    <t>Soplaviento</t>
  </si>
  <si>
    <t>Guacamayas</t>
  </si>
  <si>
    <t>Toribío</t>
  </si>
  <si>
    <t>Guasca</t>
  </si>
  <si>
    <t>Villa Del Rosario</t>
  </si>
  <si>
    <t>Guavatá</t>
  </si>
  <si>
    <t>San Antonio</t>
  </si>
  <si>
    <t>Yotoco</t>
  </si>
  <si>
    <t>Copacabana</t>
  </si>
  <si>
    <t>Talaigua Nuevo</t>
  </si>
  <si>
    <t>Guateque</t>
  </si>
  <si>
    <t>Totoró</t>
  </si>
  <si>
    <t>Guataquí</t>
  </si>
  <si>
    <t>Olaya Herrera</t>
  </si>
  <si>
    <t>Güepsa</t>
  </si>
  <si>
    <t>San Luis</t>
  </si>
  <si>
    <t>Yumbo</t>
  </si>
  <si>
    <t>Dabeiba</t>
  </si>
  <si>
    <t>Tiquisio</t>
  </si>
  <si>
    <t>Guayatá</t>
  </si>
  <si>
    <t>Villa Rica</t>
  </si>
  <si>
    <t>Guatavita</t>
  </si>
  <si>
    <t>Ospina</t>
  </si>
  <si>
    <t>Hato</t>
  </si>
  <si>
    <t>Santa Isabel</t>
  </si>
  <si>
    <t>Zarzal</t>
  </si>
  <si>
    <t>Donmatías</t>
  </si>
  <si>
    <t>Turbaco</t>
  </si>
  <si>
    <t>Güicán De La Sierra</t>
  </si>
  <si>
    <t>Guayabal De Síquima</t>
  </si>
  <si>
    <t>Francisco Pizarro</t>
  </si>
  <si>
    <t>Jesús María</t>
  </si>
  <si>
    <t>Ebéjico</t>
  </si>
  <si>
    <t>Turbana</t>
  </si>
  <si>
    <t>Iza</t>
  </si>
  <si>
    <t>Guayabetal</t>
  </si>
  <si>
    <t>Policarpa</t>
  </si>
  <si>
    <t>Jordán</t>
  </si>
  <si>
    <t>Valle De San Juan</t>
  </si>
  <si>
    <t>El Bagre</t>
  </si>
  <si>
    <t>Jenesano</t>
  </si>
  <si>
    <t>Gutiérrez</t>
  </si>
  <si>
    <t>Potosí</t>
  </si>
  <si>
    <t>La Belleza</t>
  </si>
  <si>
    <t>Venadillo</t>
  </si>
  <si>
    <t>Entrerríos</t>
  </si>
  <si>
    <t>Zambrano</t>
  </si>
  <si>
    <t>Jericó</t>
  </si>
  <si>
    <t>Jerusalén</t>
  </si>
  <si>
    <t>Landázuri</t>
  </si>
  <si>
    <t>Villahermosa</t>
  </si>
  <si>
    <t>Envigado</t>
  </si>
  <si>
    <t>Labranzagrande</t>
  </si>
  <si>
    <t>Junín</t>
  </si>
  <si>
    <t>Puerres</t>
  </si>
  <si>
    <t>Villarrica</t>
  </si>
  <si>
    <t>Fredonia</t>
  </si>
  <si>
    <t>La Capilla</t>
  </si>
  <si>
    <t>La Calera</t>
  </si>
  <si>
    <t>Pupiales</t>
  </si>
  <si>
    <t>Lebrija</t>
  </si>
  <si>
    <t>Frontino</t>
  </si>
  <si>
    <t>La Mesa</t>
  </si>
  <si>
    <t>Ricaurte</t>
  </si>
  <si>
    <t>Los Santos</t>
  </si>
  <si>
    <t>Giraldo</t>
  </si>
  <si>
    <t>La Uvita</t>
  </si>
  <si>
    <t>La Palma</t>
  </si>
  <si>
    <t>Roberto Payán</t>
  </si>
  <si>
    <t>Macaravita</t>
  </si>
  <si>
    <t>Girardota</t>
  </si>
  <si>
    <t>Villa De Leyva</t>
  </si>
  <si>
    <t>La Peña</t>
  </si>
  <si>
    <t>Samaniego</t>
  </si>
  <si>
    <t>Málaga</t>
  </si>
  <si>
    <t>Gómez Plata</t>
  </si>
  <si>
    <t>Macanal</t>
  </si>
  <si>
    <t>Sandoná</t>
  </si>
  <si>
    <t>Matanza</t>
  </si>
  <si>
    <t>Maripí</t>
  </si>
  <si>
    <t>Lenguazaque</t>
  </si>
  <si>
    <t>San Bernardo</t>
  </si>
  <si>
    <t>Mogotes</t>
  </si>
  <si>
    <t>Machetá</t>
  </si>
  <si>
    <t>San Lorenzo</t>
  </si>
  <si>
    <t>Molagavita</t>
  </si>
  <si>
    <t>Guarne</t>
  </si>
  <si>
    <t>Mongua</t>
  </si>
  <si>
    <t>Madrid</t>
  </si>
  <si>
    <t>Ocamonte</t>
  </si>
  <si>
    <t>Guatapé</t>
  </si>
  <si>
    <t>Monguí</t>
  </si>
  <si>
    <t>Manta</t>
  </si>
  <si>
    <t>San Pedro De Cartago</t>
  </si>
  <si>
    <t>Oiba</t>
  </si>
  <si>
    <t>Heliconia</t>
  </si>
  <si>
    <t>Moniquirá</t>
  </si>
  <si>
    <t>Medina</t>
  </si>
  <si>
    <t>Santa Bárbara</t>
  </si>
  <si>
    <t>Onzaga</t>
  </si>
  <si>
    <t>Hispania</t>
  </si>
  <si>
    <t>Motavita</t>
  </si>
  <si>
    <t>Santacruz</t>
  </si>
  <si>
    <t>Palmar</t>
  </si>
  <si>
    <t>Itagüí</t>
  </si>
  <si>
    <t>Muzo</t>
  </si>
  <si>
    <t>Sapuyes</t>
  </si>
  <si>
    <t>Palmas Del Socorro</t>
  </si>
  <si>
    <t>Ituango</t>
  </si>
  <si>
    <t>Nobsa</t>
  </si>
  <si>
    <t>Nemocón</t>
  </si>
  <si>
    <t>Taminango</t>
  </si>
  <si>
    <t>Páramo</t>
  </si>
  <si>
    <t>Jardín</t>
  </si>
  <si>
    <t>Nuevo Colón</t>
  </si>
  <si>
    <t>Nilo</t>
  </si>
  <si>
    <t>Tangua</t>
  </si>
  <si>
    <t>Piedecuesta</t>
  </si>
  <si>
    <t>Oicatá</t>
  </si>
  <si>
    <t>Nimaima</t>
  </si>
  <si>
    <t>San Andrés De Tumaco</t>
  </si>
  <si>
    <t>Pinchote</t>
  </si>
  <si>
    <t>La Ceja</t>
  </si>
  <si>
    <t>Otanche</t>
  </si>
  <si>
    <t>Nocaima</t>
  </si>
  <si>
    <t>Túquerres</t>
  </si>
  <si>
    <t>Puente Nacional</t>
  </si>
  <si>
    <t>La Estrella</t>
  </si>
  <si>
    <t>Pachavita</t>
  </si>
  <si>
    <t>Venecia</t>
  </si>
  <si>
    <t>Yacuanquer</t>
  </si>
  <si>
    <t>Puerto Parra</t>
  </si>
  <si>
    <t>La Pintada</t>
  </si>
  <si>
    <t>Pacho</t>
  </si>
  <si>
    <t>Puerto Wilches</t>
  </si>
  <si>
    <t>Paipa</t>
  </si>
  <si>
    <t>Paime</t>
  </si>
  <si>
    <t>Rionegro</t>
  </si>
  <si>
    <t>Liborina</t>
  </si>
  <si>
    <t>Pajarito</t>
  </si>
  <si>
    <t>Pandi</t>
  </si>
  <si>
    <t>Sabana De Torres</t>
  </si>
  <si>
    <t>Maceo</t>
  </si>
  <si>
    <t>Panqueba</t>
  </si>
  <si>
    <t>Paratebueno</t>
  </si>
  <si>
    <t>Marinilla</t>
  </si>
  <si>
    <t>Pauna</t>
  </si>
  <si>
    <t>Pasca</t>
  </si>
  <si>
    <t>San Benito</t>
  </si>
  <si>
    <t>Montebello</t>
  </si>
  <si>
    <t>Paya</t>
  </si>
  <si>
    <t>Puerto Salgar</t>
  </si>
  <si>
    <t>San Gil</t>
  </si>
  <si>
    <t>Murindó</t>
  </si>
  <si>
    <t>Paz De Río</t>
  </si>
  <si>
    <t>Pulí</t>
  </si>
  <si>
    <t>San Joaquín</t>
  </si>
  <si>
    <t>Mutatá</t>
  </si>
  <si>
    <t>Pesca</t>
  </si>
  <si>
    <t>Quebradanegra</t>
  </si>
  <si>
    <t>San José De Miranda</t>
  </si>
  <si>
    <t>Pisba</t>
  </si>
  <si>
    <t>Quetame</t>
  </si>
  <si>
    <t>Necoclí</t>
  </si>
  <si>
    <t>Puerto Boyacá</t>
  </si>
  <si>
    <t>Quipile</t>
  </si>
  <si>
    <t>San Vicente De Chucurí</t>
  </si>
  <si>
    <t>Nechí</t>
  </si>
  <si>
    <t>Quípama</t>
  </si>
  <si>
    <t>Apulo</t>
  </si>
  <si>
    <t>Olaya</t>
  </si>
  <si>
    <t>Ramiriquí</t>
  </si>
  <si>
    <t>Santa Helena Del Opón</t>
  </si>
  <si>
    <t>Peñol</t>
  </si>
  <si>
    <t>Ráquira</t>
  </si>
  <si>
    <t>San Antonio Del Tequendama</t>
  </si>
  <si>
    <t>Simacota</t>
  </si>
  <si>
    <t>Peque</t>
  </si>
  <si>
    <t>Rondón</t>
  </si>
  <si>
    <t>Socorro</t>
  </si>
  <si>
    <t>Pueblorrico</t>
  </si>
  <si>
    <t>Saboyá</t>
  </si>
  <si>
    <t>Suaita</t>
  </si>
  <si>
    <t>Puerto Berrío</t>
  </si>
  <si>
    <t>Sáchica</t>
  </si>
  <si>
    <t>Puerto Nare</t>
  </si>
  <si>
    <t>Samacá</t>
  </si>
  <si>
    <t>San Juan De Rioseco</t>
  </si>
  <si>
    <t>Suratá</t>
  </si>
  <si>
    <t>Puerto Triunfo</t>
  </si>
  <si>
    <t>San Eduardo</t>
  </si>
  <si>
    <t>Sasaima</t>
  </si>
  <si>
    <t>Tona</t>
  </si>
  <si>
    <t>Remedios</t>
  </si>
  <si>
    <t>San José De Pare</t>
  </si>
  <si>
    <t>Sesquilé</t>
  </si>
  <si>
    <t>Valle De San José</t>
  </si>
  <si>
    <t>Retiro</t>
  </si>
  <si>
    <t>San Luis De Gaceno</t>
  </si>
  <si>
    <t>Sibaté</t>
  </si>
  <si>
    <t>Vélez</t>
  </si>
  <si>
    <t>San Mateo</t>
  </si>
  <si>
    <t>Silvania</t>
  </si>
  <si>
    <t>Vetas</t>
  </si>
  <si>
    <t>San Miguel De Sema</t>
  </si>
  <si>
    <t>Simijaca</t>
  </si>
  <si>
    <t>Sabaneta</t>
  </si>
  <si>
    <t>San Pablo De Borbur</t>
  </si>
  <si>
    <t>Soacha</t>
  </si>
  <si>
    <t>Zapatoca</t>
  </si>
  <si>
    <t>Salgar</t>
  </si>
  <si>
    <t>Santana</t>
  </si>
  <si>
    <t>Sopó</t>
  </si>
  <si>
    <t>San Andrés De Cuerquía</t>
  </si>
  <si>
    <t>Subachoque</t>
  </si>
  <si>
    <t>Santa Rosa De Viterbo</t>
  </si>
  <si>
    <t>Suesca</t>
  </si>
  <si>
    <t>Santa Sofía</t>
  </si>
  <si>
    <t>Supatá</t>
  </si>
  <si>
    <t>San Jerónimo</t>
  </si>
  <si>
    <t>Sativanorte</t>
  </si>
  <si>
    <t>Susa</t>
  </si>
  <si>
    <t>San José De La Montaña</t>
  </si>
  <si>
    <t>Sativasur</t>
  </si>
  <si>
    <t>Sutatausa</t>
  </si>
  <si>
    <t>San Juan De Urabá</t>
  </si>
  <si>
    <t>Siachoque</t>
  </si>
  <si>
    <t>Tabio</t>
  </si>
  <si>
    <t>Soatá</t>
  </si>
  <si>
    <t>Tausa</t>
  </si>
  <si>
    <t>San Pedro De Los Milagros</t>
  </si>
  <si>
    <t>Socotá</t>
  </si>
  <si>
    <t>Tena</t>
  </si>
  <si>
    <t>San Pedro De Urabá</t>
  </si>
  <si>
    <t>Socha</t>
  </si>
  <si>
    <t>Tenjo</t>
  </si>
  <si>
    <t>San Rafael</t>
  </si>
  <si>
    <t>Sogamoso</t>
  </si>
  <si>
    <t>Tibacuy</t>
  </si>
  <si>
    <t>San Roque</t>
  </si>
  <si>
    <t>Somondoco</t>
  </si>
  <si>
    <t>Tibirita</t>
  </si>
  <si>
    <t>San Vicente Ferrer</t>
  </si>
  <si>
    <t>Sora</t>
  </si>
  <si>
    <t>Tocaima</t>
  </si>
  <si>
    <t>Sotaquirá</t>
  </si>
  <si>
    <t>Tocancipá</t>
  </si>
  <si>
    <t>Santa Rosa De Osos</t>
  </si>
  <si>
    <t>Soracá</t>
  </si>
  <si>
    <t>Topaipí</t>
  </si>
  <si>
    <t>Santo Domingo</t>
  </si>
  <si>
    <t>Susacón</t>
  </si>
  <si>
    <t>Ubalá</t>
  </si>
  <si>
    <t>El Santuario</t>
  </si>
  <si>
    <t>Sutamarchán</t>
  </si>
  <si>
    <t>Ubaque</t>
  </si>
  <si>
    <t>Segovia</t>
  </si>
  <si>
    <t>Sutatenza</t>
  </si>
  <si>
    <t>Villa De San Diego De Ubaté</t>
  </si>
  <si>
    <t>Sonsón</t>
  </si>
  <si>
    <t>Tasco</t>
  </si>
  <si>
    <t>Une</t>
  </si>
  <si>
    <t>Sopetrán</t>
  </si>
  <si>
    <t>Tenza</t>
  </si>
  <si>
    <t>Útica</t>
  </si>
  <si>
    <t>Támesis</t>
  </si>
  <si>
    <t>Tibaná</t>
  </si>
  <si>
    <t>Vergara</t>
  </si>
  <si>
    <t>Tarazá</t>
  </si>
  <si>
    <t>Tibasosa</t>
  </si>
  <si>
    <t>Vianí</t>
  </si>
  <si>
    <t>Tarso</t>
  </si>
  <si>
    <t>Tinjacá</t>
  </si>
  <si>
    <t>Villagómez</t>
  </si>
  <si>
    <t>Titiribí</t>
  </si>
  <si>
    <t>Tipacoque</t>
  </si>
  <si>
    <t>Villapinzón</t>
  </si>
  <si>
    <t>Toca</t>
  </si>
  <si>
    <t>Villeta</t>
  </si>
  <si>
    <t>Turbo</t>
  </si>
  <si>
    <t>Togüí</t>
  </si>
  <si>
    <t>Viotá</t>
  </si>
  <si>
    <t>Uramita</t>
  </si>
  <si>
    <t>Tópaga</t>
  </si>
  <si>
    <t>Yacopí</t>
  </si>
  <si>
    <t>Urrao</t>
  </si>
  <si>
    <t>Tota</t>
  </si>
  <si>
    <t>Zipacón</t>
  </si>
  <si>
    <t>Valdivia</t>
  </si>
  <si>
    <t>Tununguá</t>
  </si>
  <si>
    <t>Zipaquirá</t>
  </si>
  <si>
    <t>Turmequé</t>
  </si>
  <si>
    <t>Vegachí</t>
  </si>
  <si>
    <t>Tuta</t>
  </si>
  <si>
    <t>Tutazá</t>
  </si>
  <si>
    <t>Vigía Del Fuerte</t>
  </si>
  <si>
    <t>Úmbita</t>
  </si>
  <si>
    <t>Yalí</t>
  </si>
  <si>
    <t>Ventaquemada</t>
  </si>
  <si>
    <t>Yarumal</t>
  </si>
  <si>
    <t>Viracachá</t>
  </si>
  <si>
    <t>Yolombó</t>
  </si>
  <si>
    <t>Zetaquira</t>
  </si>
  <si>
    <t>Yondó</t>
  </si>
  <si>
    <t>Zaragoza</t>
  </si>
  <si>
    <t>Tipo de contratación</t>
  </si>
  <si>
    <t>16. IMPACTO</t>
  </si>
  <si>
    <t>17. INDICADORES</t>
  </si>
  <si>
    <t>18. MAPA DE ACTORES</t>
  </si>
  <si>
    <t>19. ASOCIATIVIDAD</t>
  </si>
  <si>
    <t>Si su proyecto es asociativo, por favor diligencie toda la información de las personas que hacen parte del equipo asociativo</t>
  </si>
  <si>
    <t>Nombres y Apellidos Completos</t>
  </si>
  <si>
    <t>Rol dentro del grupo</t>
  </si>
  <si>
    <t>Género</t>
  </si>
  <si>
    <t>Edad</t>
  </si>
  <si>
    <t>Caracterización</t>
  </si>
  <si>
    <t>Teléfono Contacto</t>
  </si>
  <si>
    <t>Ingresos Mensuales Promedio</t>
  </si>
  <si>
    <t>SECTOR</t>
  </si>
  <si>
    <t>ACTIVIDAD ECONÓMICA</t>
  </si>
  <si>
    <r>
      <t>0111 Cultivo de cereales (excepto arroz), legumbres y semillas oleaginosas</t>
    </r>
    <r>
      <rPr>
        <b/>
        <sz val="10"/>
        <rFont val="Arial"/>
        <family val="2"/>
      </rPr>
      <t xml:space="preserve"> </t>
    </r>
  </si>
  <si>
    <r>
      <t>0112 Cultivo de arroz</t>
    </r>
    <r>
      <rPr>
        <b/>
        <sz val="10"/>
        <rFont val="Arial"/>
        <family val="2"/>
      </rPr>
      <t xml:space="preserve"> </t>
    </r>
  </si>
  <si>
    <r>
      <t>0113 Cultivo de hortalizas, raíces y tubérculos</t>
    </r>
    <r>
      <rPr>
        <b/>
        <sz val="10"/>
        <rFont val="Arial"/>
        <family val="2"/>
      </rPr>
      <t xml:space="preserve"> </t>
    </r>
  </si>
  <si>
    <r>
      <t>0114 Cultivo de tabaco</t>
    </r>
    <r>
      <rPr>
        <b/>
        <sz val="10"/>
        <rFont val="Arial"/>
        <family val="2"/>
      </rPr>
      <t xml:space="preserve"> </t>
    </r>
  </si>
  <si>
    <r>
      <t>0115 Cultivo de plantas textiles</t>
    </r>
    <r>
      <rPr>
        <b/>
        <sz val="10"/>
        <rFont val="Arial"/>
        <family val="2"/>
      </rPr>
      <t xml:space="preserve"> </t>
    </r>
  </si>
  <si>
    <t>0119 Otros cultivos transitorios n.c.p.</t>
  </si>
  <si>
    <t>0121 Cultivo de frutas tropicales y subtropicales</t>
  </si>
  <si>
    <t>0122 Cultivo de plátano y banano</t>
  </si>
  <si>
    <t>0123 Cultivo de café</t>
  </si>
  <si>
    <t>0124 Cultivo de caña de azúcar</t>
  </si>
  <si>
    <t>0125 Cultivo de flor de corte</t>
  </si>
  <si>
    <t>0126 Cultivo de palma para aceite (palma africana) y otros frutos oleaginosos</t>
  </si>
  <si>
    <t>0127 Cultivo de plantas con las que se preparan bebidas</t>
  </si>
  <si>
    <t xml:space="preserve">0128 Cultivo de especias y de plantas aromáticas y medicinales </t>
  </si>
  <si>
    <t>0129 Otros cultivos permanentes n.c.p.</t>
  </si>
  <si>
    <t xml:space="preserve">0130 Propagación de plantas (actividades de los viveros, excepto viveros forestales) </t>
  </si>
  <si>
    <t>0141 Cría de ganado bovino y bufalino</t>
  </si>
  <si>
    <t xml:space="preserve">0142 Cría de caballos y otros equinos </t>
  </si>
  <si>
    <t xml:space="preserve">0143 Cría de ovejas y cabras </t>
  </si>
  <si>
    <t>0144 Cría de ganado porcino</t>
  </si>
  <si>
    <t>0145 Cría de aves de corral</t>
  </si>
  <si>
    <t>0149 Cría de otros animales n.c.p.</t>
  </si>
  <si>
    <t xml:space="preserve">0150 Explotación mixta (agrícola y pecuaria) </t>
  </si>
  <si>
    <t xml:space="preserve">0161 Actividades de apoyo a la agricultura </t>
  </si>
  <si>
    <t>0162 Actividades de apoyo a la ganadería</t>
  </si>
  <si>
    <t xml:space="preserve">0163 Actividades posteriores a la cosecha </t>
  </si>
  <si>
    <t xml:space="preserve">0164 Tratamiento de semillas para propagación </t>
  </si>
  <si>
    <t>0210 Silvicultura y otras actividades forestales</t>
  </si>
  <si>
    <t xml:space="preserve">0170 Caza ordinaria y mediante trampas y actividades de servicios conexas </t>
  </si>
  <si>
    <t xml:space="preserve">0220 Extracción de madera </t>
  </si>
  <si>
    <t>0230 Recolección de productos forestales diferentes a la madera</t>
  </si>
  <si>
    <t xml:space="preserve">0240 Servicios de apoyo a la silvicultura </t>
  </si>
  <si>
    <t xml:space="preserve">0311 Pesca marítima </t>
  </si>
  <si>
    <t xml:space="preserve">0312 Pesca de agua dulce </t>
  </si>
  <si>
    <t xml:space="preserve">0321 Acuicultura marítima </t>
  </si>
  <si>
    <t>0322 Acuicultura de agua dulce</t>
  </si>
  <si>
    <t>1011 Procesamiento y conservación de carne y productos cárnicos</t>
  </si>
  <si>
    <t>1012 Procesamiento y conservación de pescados, crustáceos y moluscos</t>
  </si>
  <si>
    <t>1020 Procesamiento y conservación de frutas, legumbres, hortalizas y tubérculos</t>
  </si>
  <si>
    <t>1030 Elaboración de aceites y grasas de origen vegetal y animal</t>
  </si>
  <si>
    <t>1040 Elaboración de productos lácteos</t>
  </si>
  <si>
    <t>1051 Elaboración de productos de molinería</t>
  </si>
  <si>
    <t>1052 Elaboración de almidones y productos derivados del almidón</t>
  </si>
  <si>
    <t>1061 Trilla de café</t>
  </si>
  <si>
    <t>1062 Descafeinado, tostión y molienda del café</t>
  </si>
  <si>
    <t>1063 Otros derivados del café</t>
  </si>
  <si>
    <t>1071 Elaboración y refinación de azúcar</t>
  </si>
  <si>
    <t>1072 Elaboración de panela</t>
  </si>
  <si>
    <t>1081 Elaboración de productos de panadería</t>
  </si>
  <si>
    <t>1082 Elaboración de cacao, chocolate y productos de confitería</t>
  </si>
  <si>
    <t>1083 Elaboración de macarrones, fideos, alcuzcuz y productos farináceos similares</t>
  </si>
  <si>
    <t>1084 Elaboración de comidas y platos preparados</t>
  </si>
  <si>
    <t>1089 Elaboración de otros productos alimenticios n.c.p.</t>
  </si>
  <si>
    <t>1090 Elaboración de alimentos preparados para animales</t>
  </si>
  <si>
    <t>1102 Elaboración de bebidas fermentadas no destiladas</t>
  </si>
  <si>
    <t>1103 Producción de malta, elaboración de cervezas y otras bebidas malteadas</t>
  </si>
  <si>
    <t>1104 Elaboración de bebidas no alcohólicas, producción de aguas minerales y de otras aguas embotelladas</t>
  </si>
  <si>
    <t>1311 Preparación e hilatura de fibras textiles</t>
  </si>
  <si>
    <t>1312 Tejeduría de productos textiles</t>
  </si>
  <si>
    <t>1313 Acabado de productos textiles</t>
  </si>
  <si>
    <t>1391 Fabricación de tejidos de punto y ganchillo</t>
  </si>
  <si>
    <t>1392 Confección de artículos con materiales textiles, excepto prendas de vestir</t>
  </si>
  <si>
    <t>1393 Fabricación de tapetes y alfombras para pisos</t>
  </si>
  <si>
    <t>1394 Fabricación de cuerdas, cordeles, cables, bramantes y redes</t>
  </si>
  <si>
    <t>1399 Fabricación de otros artículos textiles n.c.p.</t>
  </si>
  <si>
    <t>1410 Confección de prendas de vestir, excepto prendas de piel</t>
  </si>
  <si>
    <t>1420 Fabricación de artículos de piel</t>
  </si>
  <si>
    <t>1430 Fabricación de artículos de punto y ganchillo</t>
  </si>
  <si>
    <t>1511 Curtido y recurtido de cueros; recurtido y teñido de pieles</t>
  </si>
  <si>
    <t>1512 Fabricación de artículos de viaje, bolsos de mano y artículos similares elaborados en cuero, y fabricación de artículos de talabartería y guarnicionería</t>
  </si>
  <si>
    <t>1513 Fabricación de artículos de viaje, bolsos de mano y artículos similares; artículos de talabartería y guarnicionería elaborados en otros materiales</t>
  </si>
  <si>
    <t>1521 Fabricación de calzado de cuero y piel, con cualquier tipo de suela</t>
  </si>
  <si>
    <t>1522 Fabricación de otros tipos de calzado, excepto calzado de cuero y piel</t>
  </si>
  <si>
    <t>1523 Fabricación de partes del calzado</t>
  </si>
  <si>
    <t>1640 Fabricación de recipientes de madera</t>
  </si>
  <si>
    <t>2023 Fabricación de jabones y detergentes, preparados para limpiar y pulir; perfumes y preparados de tocador</t>
  </si>
  <si>
    <t>2392 Fabricación de materiales de arcilla para la construcción</t>
  </si>
  <si>
    <t>2393 Fabricación de otros productos de cerámica y porcelana</t>
  </si>
  <si>
    <t>2396 Corte, tallado y acabado de la piedra</t>
  </si>
  <si>
    <t>3211 Fabricación de joyas y artículos conexos</t>
  </si>
  <si>
    <t>3212 Fabricación de bisutería y artículos conexos</t>
  </si>
  <si>
    <t>5514 Alojamiento rural</t>
  </si>
  <si>
    <t>5519 Otros tipos de alojamientos para visitantes</t>
  </si>
  <si>
    <t>5520 Actividades de zonas de camping y parques para vehículos recreacionales</t>
  </si>
  <si>
    <t>5590 Otros tipos de alojamiento n.c.p.</t>
  </si>
  <si>
    <t>5611 Expendio a la mesa de comidas preparadas</t>
  </si>
  <si>
    <t>5612 Expendio por autoservicio de comidas preparadas</t>
  </si>
  <si>
    <t>5619 Otros tipos de expendio de comidas preparadas n.c.p.</t>
  </si>
  <si>
    <t>5629 Actividades de otros servicios de comidas</t>
  </si>
  <si>
    <t>7912 Actividades de operadores turísticos</t>
  </si>
  <si>
    <t>7990 Otros servicios de reserva y actividades relacionadas</t>
  </si>
  <si>
    <t>3600 Captación, tratamiento y distribución de agua</t>
  </si>
  <si>
    <t>3700 Evacuación y tratamiento de aguas residuales</t>
  </si>
  <si>
    <t>3811 Recolección de desechos no peligrosos</t>
  </si>
  <si>
    <t>3812 Recolección de desechos peligrosos</t>
  </si>
  <si>
    <t>3821 Tratamiento y disposición de desechos no peligrosos</t>
  </si>
  <si>
    <t>3830 Recuperación de materiales</t>
  </si>
  <si>
    <t>3900 Actividades de saneamiento ambiental y otros servicios de gestión de desechos</t>
  </si>
  <si>
    <t>4620 Comercio al por mayor de materias primas agropecuarias; animales vivos</t>
  </si>
  <si>
    <t>4631 Comercio al por mayor de productos alimenticios</t>
  </si>
  <si>
    <t>4711 Comercio al por menor en establecimientos no especializados con surtido compuesto principalmente por alimentos, bebidas o tabaco</t>
  </si>
  <si>
    <t>4721 Comercio al por menor de productos agrícolas para el consumo en establecimientos especializados</t>
  </si>
  <si>
    <t>4722 Comercio al por menor de leche, productos lácteos y huevos, en establecimientos especializados</t>
  </si>
  <si>
    <t>4723 Comercio al por menor de carnes (incluye aves de corral), productos cárnicos, pescados y productos de mar, en establecimientos especializados</t>
  </si>
  <si>
    <t>¿De que forma espera que los clientes sepan de sus productos o servicios? Indique los canales para comunicar su producto a la comunidad.</t>
  </si>
  <si>
    <t>Canales de distribución</t>
  </si>
  <si>
    <t>INSTRUCCIONES GENERALES:</t>
  </si>
  <si>
    <t>Siempre hay competencia, hay que reconocerlo y son esos que hacen lo mismo que queremos hacer, o los que con su producto o servicio reemplazan lo que queremos hacer, describa tres (3) competidores y en qué se diferencia de ellos.</t>
  </si>
  <si>
    <t>PUNTO DE EQUILIBRIO
(Unidades)</t>
  </si>
  <si>
    <t>Femenino</t>
  </si>
  <si>
    <t>Masculino</t>
  </si>
  <si>
    <t>Tipo de Documento de identidad</t>
  </si>
  <si>
    <t>Número de documento</t>
  </si>
  <si>
    <t>Participación % en la toma de decisiones</t>
  </si>
  <si>
    <t>Función principal</t>
  </si>
  <si>
    <t>1. Gestión y Administración:
   - Establecer y mantener una estructura de gobierno eficaz.
   - Designar y supervisar a los miembros de la junta directiva u órganos de gobierno.
   - Garantizar el cumplimiento de los estatutos, reglamentos internos y normativas legales aplicables.
2. Transparencia y Responsabilidad:
   - Mantener registros precisos y transparentes de las actividades y decisiones de la asociación.
   - Presentar informes financieros y de actividades de manera periódica a los miembros y otras partes interesadas.
   - Actuar de manera
3. Gestión de Recursos:
   - Administrar eficientemente los recursos financieros y materiales de la asociación.
   - Garantizar que los fondos se utilicen de manera adecuada y en línea con los objetivos de la asociación.
   - Buscar fuentes de financiamiento sostenibles para apoyar las actividades de la asociación ética y responsable en todas las actividades de la asociación.
4. Relaciones con los Miembros y la Comunidad:
   - Fomentar la participación activa y el compromiso de los miembros en las actividades de la asociación.
   - Mantener una comunicación abierta y efectiva con los miembros, socios y otras partes interesadas.
   - Colaborar con otras organizaciones y entidades para promover los objetivos de la asociación.
5. Cumplimiento Legal:
   - Cumplir con todas las leyes y regulaciones aplicables a la asociación.
   - Presentar informes fiscales y legales requeridos por las autoridades competentes.
   - Proteger los derechos y el bienestar de los miembros, empleados y otras partes interesadas.</t>
  </si>
  <si>
    <t>Frente al elemento "Función principal" de cada uno de los miembros del equipo asociativo, deben clasificarse así:</t>
  </si>
  <si>
    <t>Gestión y Administración</t>
  </si>
  <si>
    <t>Transparencia y Responsabilidad:</t>
  </si>
  <si>
    <t>Gestión de Recursos</t>
  </si>
  <si>
    <t>Relaciones con los Miembros y la Comunidad</t>
  </si>
  <si>
    <t>Cumplimiento Legal</t>
  </si>
  <si>
    <t xml:space="preserve">INFORMACIÓN DE LOS INTEGRANTES DEL PROYECTO ASOCIATIVO DE ECONOMÍA CAMPESINA </t>
  </si>
  <si>
    <t>Cómo se tomarán las decisiones y se realizará la gestión de los recursos</t>
  </si>
  <si>
    <t>Indicar las principales responsabilidades que tendrá la asociación</t>
  </si>
  <si>
    <t>2.</t>
  </si>
  <si>
    <t>3.</t>
  </si>
  <si>
    <t>4.</t>
  </si>
  <si>
    <t>5.</t>
  </si>
  <si>
    <t>6.</t>
  </si>
  <si>
    <t>7.</t>
  </si>
  <si>
    <t>8.</t>
  </si>
  <si>
    <t>9.</t>
  </si>
  <si>
    <t>Persona Natural</t>
  </si>
  <si>
    <t>Persona Natural con Establecimiento de Comercio</t>
  </si>
  <si>
    <t>Asociación</t>
  </si>
  <si>
    <t>Cooperativa</t>
  </si>
  <si>
    <t>Marque con X</t>
  </si>
  <si>
    <t>Empresa Jurídica SAS</t>
  </si>
  <si>
    <t>1. INVERSIONES FIJAS</t>
  </si>
  <si>
    <t>Aporte FE</t>
  </si>
  <si>
    <t>Aporte
Emprendedor
(es)</t>
  </si>
  <si>
    <t>Total</t>
  </si>
  <si>
    <t xml:space="preserve">En este punto se debe describir
Infraestructura, Terrenos y Construcciones
Maquinaria y Equipo
Muebles y Enseres
Equipo de transporte y carga
Equipos de cómputo, comunicaciones y otras herramientas
Semovientes
Cultivos permanentes
</t>
  </si>
  <si>
    <t>TOTAL  INVERSIONES FIJAS</t>
  </si>
  <si>
    <t>Valor</t>
  </si>
  <si>
    <t>Prestación de servicios</t>
  </si>
  <si>
    <t>Jornal</t>
  </si>
  <si>
    <t>Contrato por obra o Labor</t>
  </si>
  <si>
    <t>Contrato Laboral a término fijo</t>
  </si>
  <si>
    <t>Contrato Laboral a término indefinido</t>
  </si>
  <si>
    <t>Adolescentes en Conflicto con la Ley Penal</t>
  </si>
  <si>
    <t>Adolescente Trabajador</t>
  </si>
  <si>
    <t>Adolescentes y Jóvenes Vulnerables</t>
  </si>
  <si>
    <t>Afrocolombianos</t>
  </si>
  <si>
    <t>Campesino</t>
  </si>
  <si>
    <t>Desplazado por fenómenos naturales</t>
  </si>
  <si>
    <t>Migrantes que retornan al país</t>
  </si>
  <si>
    <t>Mujer cabeza de hogar</t>
  </si>
  <si>
    <t>Negritudes</t>
  </si>
  <si>
    <t>Ninguno</t>
  </si>
  <si>
    <t>Palenqueros</t>
  </si>
  <si>
    <t>Participanes del programa de reintegración - Reintegrados (ARN)</t>
  </si>
  <si>
    <t>Personas en Proceso de Reincorporación</t>
  </si>
  <si>
    <t>Población LGBTI</t>
  </si>
  <si>
    <t>Población con discapacidad</t>
  </si>
  <si>
    <t>Población indígena</t>
  </si>
  <si>
    <t>Población víctima de minas antipersona</t>
  </si>
  <si>
    <t>Pueblo ROM</t>
  </si>
  <si>
    <t>Raizales</t>
  </si>
  <si>
    <t>Remitidos por programa de adaptación laboral - PAL</t>
  </si>
  <si>
    <t>Soldados campesinos</t>
  </si>
  <si>
    <t>Tercera edad</t>
  </si>
  <si>
    <t>Veteranos</t>
  </si>
  <si>
    <t>Víctima de otros hechos victimizantes</t>
  </si>
  <si>
    <t>Víctima de violencia</t>
  </si>
  <si>
    <t>Víctimas Sobrevivientes con Agentes Químicos</t>
  </si>
  <si>
    <t>11. EQUIPO DE TRABAJO</t>
  </si>
  <si>
    <t>12. NECESIDADES Y REQUERIMIENTOS</t>
  </si>
  <si>
    <t>13. VALOR DEL PROYECTO</t>
  </si>
  <si>
    <t>15. PLAN OPERATIVO</t>
  </si>
  <si>
    <t>CUALIDADES DEL CLIENTE O CONSUMIDOR
(Por favor indicar gustos, preferencias, que le da miedo, que le hace feliz, cuales son sus valores, que le gusta comer, si le gusta viajar, entre otros)</t>
  </si>
  <si>
    <t>Localización geográfica
(Departamento, Municipio)</t>
  </si>
  <si>
    <t>Anual</t>
  </si>
  <si>
    <t>Mes 1
($)</t>
  </si>
  <si>
    <t>Mes 2
($)</t>
  </si>
  <si>
    <t>Mes 3
($)</t>
  </si>
  <si>
    <t>Mes 4
($)</t>
  </si>
  <si>
    <t>Mes 5
($)</t>
  </si>
  <si>
    <t>Mes 6
($)</t>
  </si>
  <si>
    <t>Mes 7
($)</t>
  </si>
  <si>
    <t>Mes 8
($)</t>
  </si>
  <si>
    <t>Mes 9
($)</t>
  </si>
  <si>
    <t>Costos Fijos</t>
  </si>
  <si>
    <t>VALOR PRESENTE NETO</t>
  </si>
  <si>
    <t>Diligenciar la tasa de descuento</t>
  </si>
  <si>
    <t>Gastos de Administración y Ventas</t>
  </si>
  <si>
    <t>Permisos y Licencias</t>
  </si>
  <si>
    <t>Salud</t>
  </si>
  <si>
    <t>Pensión</t>
  </si>
  <si>
    <t>ARL</t>
  </si>
  <si>
    <t>Cesantías</t>
  </si>
  <si>
    <t>Interes de cesantías</t>
  </si>
  <si>
    <t>Prima Legal</t>
  </si>
  <si>
    <t>Vacaciones</t>
  </si>
  <si>
    <t>Parafiscales</t>
  </si>
  <si>
    <t>Factor prestacional</t>
  </si>
  <si>
    <t>Total Asignación Mensual</t>
  </si>
  <si>
    <t>Unidades a producir o servicios a prestar en el Año 1</t>
  </si>
  <si>
    <t>Ventas a generar en el Año 1</t>
  </si>
  <si>
    <t xml:space="preserve"> </t>
  </si>
  <si>
    <t xml:space="preserve"> En qué consiste su proyecto, qué lo hace diferente a los demás. ¿Cual es esa ventaja, que hace mejor a su producto o servicio a lo que ya existe, cual es ese toque especial, único que le va agregar? </t>
  </si>
  <si>
    <t xml:space="preserve">Ahora, de acuerdo con la sesión de entrenamiento, describa la propuesta de valor: </t>
  </si>
  <si>
    <t>Relacione los productos o servicios a ofrecer al cliente. Descríbalos, cual es la unidad de medida (Libras, Kilos...), presentación. Agrúpelos en únicamente tres (3) productos o servicios.</t>
  </si>
  <si>
    <t>Quién realiza la actividad (Ej: Administrador, operario, veterinario, agrónomo)</t>
  </si>
  <si>
    <t>En este espacio usted realizará la proyección de sus ventas a tres años. Para los productos o servicios indique el incremento que este precio tendrá año a año teniendo en cuenta indicadores macroeconómicos como el IPC (Indice de precios al consumidor) y el IPP (Indice de precios al productor)</t>
  </si>
  <si>
    <t>Ahora debe definir los costos variables asociados a su producto o servicio. Es decir, aquellas actividades que varían con el nivel de producción o prestación del servicio. Los costos variables, cambian cuando mi producción cambia, son los asociados a la materia prima para elaborar nuestro producto o para prestar nuestro servicio</t>
  </si>
  <si>
    <r>
      <t xml:space="preserve">Defina cuanto es el valor del proyecto, indicando que actividades serán solicitadas para financiar con el Recurso de Fondo Emprender y cuales serán aporte del Emprendedor.
Rubros Financiables por el Fondo Emprender CREAR
1. Pago de salarios u honorarios.
2. Insumos para el ciclo productivo (materia prima y bienes en proceso) que contribuyan de manera directa o que forman parte del proceso de producción.
3. Adquisición de maquinaria, equipos y software.
4. Costos que se generen por permisos, licencias y registros, requeridos por la ley para el normal funcionamiento de la iniciativa empresarial.
5. Las adecuaciones o remodelaciones estructurales y locativas del inmueble donde se desarrollará la iniciativa empresarial.
6. Financiar las adecuaciones técnicas necesarias para el proceso productivo o montaje industrial. Para estos fines se entiende por adecuación técnica toda obra civil que sea indispensable para el desarrollo de la actividad y ejecución de la iniciativa empresarial, rubro que en ningún caso podrá ser utilizado con fines de vivienda del beneficiario.
7. Adquisición de franquicias, siempre y cuando, además de los criterios señalados en el presente Acuerdo, este modelo de negocio genere valor agregado sustentado.
Aporte del Emprendedor
Podrá ser en especie, servicios, dinero, o industrial, </t>
    </r>
    <r>
      <rPr>
        <b/>
        <sz val="16"/>
        <color indexed="8"/>
        <rFont val="Century Gothic"/>
        <family val="2"/>
      </rPr>
      <t>NO podrá ser inferior al 10% del valor total del proyecto.</t>
    </r>
  </si>
  <si>
    <t>14. ¿QUÉ AVANCES DEL PROYECTO SE TIENEN A ESTE MOMENTO?</t>
  </si>
  <si>
    <t>¿Qué avances se han realizado hasta el momento con el proyecto y qué recursos están disponibles?</t>
  </si>
  <si>
    <t>Cuéntenos cómo su proyecto aporta al crecimiento económico de su región, cuidado del medio ambiente, a su comunidad y en el uso de tecnologías.</t>
  </si>
  <si>
    <t>Indique actores de otras instituciones que puedan ayudar al desarrollo de su iniciativa empresarial (Pueden ser del sector público, del sector privado, y demás que considere)</t>
  </si>
  <si>
    <t>¿Qué necesita o requiere del actor clave?</t>
  </si>
  <si>
    <r>
      <t xml:space="preserve">Primero, debe definir los costos fijos asociados a su proyecto. Es decir, aquellas actividades que se asocian directamente a la producción o prestación del servicio (Diligenciar solamente las celdas en gris) 
Nota: En los Costos Fijos </t>
    </r>
    <r>
      <rPr>
        <b/>
        <sz val="18"/>
        <color indexed="8"/>
        <rFont val="Century Gothic"/>
        <family val="2"/>
      </rPr>
      <t>NO CONSIDERAR LA MANO DE OBRA</t>
    </r>
    <r>
      <rPr>
        <sz val="18"/>
        <color indexed="8"/>
        <rFont val="Century Gothic"/>
        <family val="2"/>
      </rPr>
      <t>, dado que se contabiliza en el elemento EQUIPO DE TRABAJO</t>
    </r>
  </si>
  <si>
    <t xml:space="preserve"> Constitución Legal (Para Línea CREAR)</t>
  </si>
  <si>
    <t>Principales Funciones o Actividades a realizar</t>
  </si>
  <si>
    <t>Describa la actividad a realizar</t>
  </si>
  <si>
    <t>En este punto puede describir
Adecuaciones
Permisos y Licencias
Materia prima
Mano de obra
Otros Costos (Ej: Transporte, Empaques, Etiquetas…)
Gastos de administración y ventas (Arriendo, Publicidad, Recurso humano administrativo), entre otros</t>
  </si>
  <si>
    <t>Marque con X únicamente las actividades que realizará para dar a conocer su proyecto</t>
  </si>
  <si>
    <t>Descripción del indicador</t>
  </si>
  <si>
    <t>Debe darse cumplimiento a la realización de eventos de transferencia de conocimiento los cuales se programarán de manera concertada con el SENA</t>
  </si>
  <si>
    <t>Debe darse cumplimiento al indicador descrito en el punto 11. Equipo de Trabajo frente a los cargos, actividades a realizar y tipo de contratación.</t>
  </si>
  <si>
    <t>Debe darse cumplimiento al indicador descrito en el punto 8. Canales frente a los eventos a realizarse para visibilizar el proyecto.</t>
  </si>
  <si>
    <t>Debe darse cumplimiento a la ejecución de los recursos solicitados al Fondo Emprender</t>
  </si>
  <si>
    <t>¿Cuenta con un lugar de operaciones?</t>
  </si>
  <si>
    <t>En el siguiente cuadro colocar la información del producto o servicio 3 descrito anteriormente</t>
  </si>
  <si>
    <t>TOTAL PLAN OPERATIVO</t>
  </si>
  <si>
    <t>Precio
(Solo colocar valor $)</t>
  </si>
  <si>
    <r>
      <t xml:space="preserve">Para el diligenciamiento de esta herramienta, se debe tener el acompañamiento del Centro de Desarrollo Empresarial del SENA más cercano, donde el equipo de profesionales realizará al menos cinco (5) entrenamientos para guiarlo en la construcción del proyecto y el diligenciamiento de esta herramienta. </t>
    </r>
    <r>
      <rPr>
        <b/>
        <u/>
        <sz val="18"/>
        <color indexed="8"/>
        <rFont val="Century Gothic"/>
        <family val="2"/>
      </rPr>
      <t>Diligenciar solamente las celdas sombreadas en gris. Se solicita mantener la estructura original de la herramienta, sin realizar cambios en las columnas, pestañas, fórmulas, formatos de celdas o cualquier otro elemento que afecte su integridad.</t>
    </r>
    <r>
      <rPr>
        <sz val="18"/>
        <color indexed="8"/>
        <rFont val="Century Gothic"/>
        <family val="2"/>
      </rPr>
      <t xml:space="preserve"> </t>
    </r>
    <r>
      <rPr>
        <b/>
        <u/>
        <sz val="18"/>
        <color indexed="8"/>
        <rFont val="Century Gothic"/>
        <family val="2"/>
      </rPr>
      <t>Solo se considerará la información que se pueda visualizar en cada celda, POR FAVOR, no agregar información que no se pueda visualizar, dado que no será tenida en cuenta en el proceso de evaluación.</t>
    </r>
  </si>
  <si>
    <t>En el siguiente cuadro colocar la información del producto o servicio 2 descrito anteriormente</t>
  </si>
  <si>
    <t>En el siguiente cuadro colocar la información  solicitada en las casillas en gris, del producto o servicio 1 descrito anteriormente</t>
  </si>
  <si>
    <t>Cuánto vale para el primer año (Valor en $)</t>
  </si>
  <si>
    <t>Cantidad requerida en el año 1</t>
  </si>
  <si>
    <t>Cantidad por unidad de producto</t>
  </si>
  <si>
    <t>Meses requeridos en Año 1</t>
  </si>
  <si>
    <t>Actor (Internacional, Nacional, Público, Privado)</t>
  </si>
  <si>
    <t>Localización Geográfica</t>
  </si>
  <si>
    <t>1.</t>
  </si>
  <si>
    <t>Tipo de documento</t>
  </si>
  <si>
    <t>Función Principal</t>
  </si>
  <si>
    <t>Genero</t>
  </si>
  <si>
    <t>Cantidad o Meses requeridos en el Año 1</t>
  </si>
  <si>
    <t>Impuesto de Renta</t>
  </si>
  <si>
    <t xml:space="preserve">*Nota: Para el caso de jornales calcule el número de días requeridos en el mes y colóquelo en la casilla Asignación Mensual. </t>
  </si>
  <si>
    <t>Tiempo requerido
(Días)</t>
  </si>
  <si>
    <t>Costo ($)</t>
  </si>
  <si>
    <t>Valor mensual ($)</t>
  </si>
  <si>
    <t>Valor unitario ($)</t>
  </si>
  <si>
    <t>Valor Total ($)</t>
  </si>
  <si>
    <t>Valor Total Año 1 ($)</t>
  </si>
  <si>
    <t>Asignación Mensual ($)</t>
  </si>
  <si>
    <t>*Nota: Si su proyecto es individual no le será calculado valor por Impuesto de Renta</t>
  </si>
  <si>
    <t>CARACTERÍSTICAS DEL CLIENTE O CONSUMIDOR
(Por favor indicar frente al cliente, ubicación geográfica, estrato, edad, género, capacidad de compra, si trabaja, si tiene hijos, si vive en casa propia o arriendo) Incluya cifras y estadísticas</t>
  </si>
  <si>
    <t>¿Cuáles son las normas, permisos, registros, licencias, notificaciones, requeridos para funcionar? Descríbalas detalladamente. Es fundamental todo el proceso de investigación y conocimiento que se tenga de los requerimientos legales, normativos, permisos, licencias y demás que se requieran para poner en ejecución su proyecto.</t>
  </si>
  <si>
    <t>Diligencie cada uno de los cargos que harán parte del equipo de trabajo, sea cuidadosa(o) con el diligenciamiento dado que así deberá ejecutarse en la implementación del proyecto.
Describa detalladamente las principales funciones o actividades a realizar.</t>
  </si>
  <si>
    <t>0510 Extracción de hulla (carbón de piedra)</t>
  </si>
  <si>
    <t>0520 Extracción de carbón lignito</t>
  </si>
  <si>
    <t>0610 Extracción de petróleo crudo</t>
  </si>
  <si>
    <t>0620 Extracción de gas natural</t>
  </si>
  <si>
    <t>0710 Extracción de minerales de hierro</t>
  </si>
  <si>
    <t>0721 Extracción de minerales de uranio y de torio</t>
  </si>
  <si>
    <t>0722 Extracción de oro y otros metales preciosos</t>
  </si>
  <si>
    <t>0723 Extracción de minerales de níquel</t>
  </si>
  <si>
    <t>0724 Extracción de otros minerales metalíferos no ferrosos n.c.p.</t>
  </si>
  <si>
    <t>0811 Extracción de piedra, arena, arcillas comunes, yeso y anhidrita</t>
  </si>
  <si>
    <t>0812 Extracción de arcillas de uso industrial, caliza, caolín y bentonitas</t>
  </si>
  <si>
    <t>0820 Extracción de esmeraldas, piedras preciosas y semipreciosas</t>
  </si>
  <si>
    <t>0891 Extracción de minerales para la fabricación de abonos y productos químicos</t>
  </si>
  <si>
    <t>0892 Extracción de halita (sal)</t>
  </si>
  <si>
    <t>0899 Extracción de otros minerales no metálicos n.c.p.</t>
  </si>
  <si>
    <t>0910 Actividades de apoyo para la extracción de petróleo y de gas natural</t>
  </si>
  <si>
    <t>0990 Actividades de apoyo para otras actividades de explotación de minas y canteras</t>
  </si>
  <si>
    <t>1610 Aserrado, acepillado e impregnación de la madera</t>
  </si>
  <si>
    <t>1620 Fabricación de hojas de madera para enchapado; fabricación de tableros contrachapados, tableros laminados, tableros de partículas y otros tableros y paneles</t>
  </si>
  <si>
    <t>1630 Fabricación de partes y piezas de madera, de carpintería y ebanistería para la construcción</t>
  </si>
  <si>
    <t>1690 Fabricación de otros productos de madera; fabricación de artículos de corcho, cestería y espartería</t>
  </si>
  <si>
    <t>1701 Fabricación de pulpas (pastas) celulósicas; papel y cartón</t>
  </si>
  <si>
    <t>1702 Fabricación de papel y cartón ondulado (corrugado); fabricación de envases, empaques y de embalajes de papel y cartón.</t>
  </si>
  <si>
    <t>1709 Fabricación de otros artículos de papel y cartón</t>
  </si>
  <si>
    <t>1811 Actividades de impresión</t>
  </si>
  <si>
    <t>1812 Actividades de servicios relacionados con la impresión</t>
  </si>
  <si>
    <t xml:space="preserve">1820 Producción de copias a partir de grabaciones originales </t>
  </si>
  <si>
    <t>1910 Fabricación de productos de hornos de coque</t>
  </si>
  <si>
    <t>1921 Fabricación de productos de la refinación del petróleo</t>
  </si>
  <si>
    <t>1922 Actividad de mezcla de combustibles</t>
  </si>
  <si>
    <t>2029 Fabricación de otros productos químicos n.c.p.</t>
  </si>
  <si>
    <t>2030 Fabricación de fibras sintéticas y artificiales</t>
  </si>
  <si>
    <t>2100 Fabricación de productos farmacéuticos, sustancias químicas medicinales y productos botánicos de uso farmacéutico</t>
  </si>
  <si>
    <t>2211 Fabricación de llantas y neumáticos de caucho</t>
  </si>
  <si>
    <t>2212 Reencauche de llantas usadas</t>
  </si>
  <si>
    <t>2219 Fabricación de formas básicas de caucho y otros productos de caucho n.c.p.</t>
  </si>
  <si>
    <t>2221 Fabricación de formas básicas de plástico</t>
  </si>
  <si>
    <t>2229 Fabricación de artículos de plástico n.c.p.</t>
  </si>
  <si>
    <t>2399 Fabricación de otros productos minerales no metálicos n.c.p.</t>
  </si>
  <si>
    <t>2410 Industrias básicas de hierro y de acero</t>
  </si>
  <si>
    <t>2421 Industrias básicas de metales preciosos</t>
  </si>
  <si>
    <t>2429 Industrias básicas de otros metales no ferrosos</t>
  </si>
  <si>
    <t>2431 Fundición de hierro y de acero</t>
  </si>
  <si>
    <t xml:space="preserve">2432 Fundición de metales no ferrosos </t>
  </si>
  <si>
    <t>2511 Fabricación de productos metálicos para uso estructural</t>
  </si>
  <si>
    <t>2512 Fabricación de tanques, depósitos y recipientes de metal, excepto los utilizados para el envase o transporte de mercancías</t>
  </si>
  <si>
    <t>2513 Fabricación de generadores de vapor, excepto calderas de agua caliente para calefacción central</t>
  </si>
  <si>
    <t>2520 Fabricación de armas y municiones</t>
  </si>
  <si>
    <t>2591 Forja, prensado, estampado y laminado de metal; pulvimetalurgia</t>
  </si>
  <si>
    <t>2592 Tratamiento y revestimiento de metales; mecanizado</t>
  </si>
  <si>
    <t>2593 Fabricación de artículos de cuchillería, herramientas de mano y artículos de ferretería</t>
  </si>
  <si>
    <t>2599 Fabricación de otros productos elaborados de metal n.c.p.</t>
  </si>
  <si>
    <t>2610 Fabricación de componentes y tableros electrónicos</t>
  </si>
  <si>
    <t>2620 Fabricación de computadoras y de equipo periférico</t>
  </si>
  <si>
    <t>2630 Fabricación de equipos de comunicación</t>
  </si>
  <si>
    <t>2640 Fabricación de aparatos electrónicos de consumo</t>
  </si>
  <si>
    <t>2651 Fabricación de equipo de medición, prueba, navegación y control</t>
  </si>
  <si>
    <t>2652 Fabricación de relojes</t>
  </si>
  <si>
    <t>2660 Fabricación de equipo de irradiación y equipo electrónico de uso médico y terapéutico</t>
  </si>
  <si>
    <t>2670 Fabricación de instrumentos ópticos y equipo fotográfico</t>
  </si>
  <si>
    <t>2680 Fabricación de medios magnéticos y ópticos para almacenamiento de datos</t>
  </si>
  <si>
    <t>2711 Fabricación de motores, generadores y transformadores eléctricos</t>
  </si>
  <si>
    <t>2712 Fabricación de aparatos de distribución y control de la energía eléctrica</t>
  </si>
  <si>
    <t>2720 Fabricación de pilas, baterías y acumuladores eléctricos</t>
  </si>
  <si>
    <t>2731 Fabricación de hilos y cables eléctricos y de fibra óptica</t>
  </si>
  <si>
    <t>2732 Fabricación de dispositivos de cableado</t>
  </si>
  <si>
    <t>2740 Fabricación de equipos eléctricos de iluminación</t>
  </si>
  <si>
    <t>2750 Fabricación de aparatos de uso doméstico</t>
  </si>
  <si>
    <t>2790 Fabricación de otros tipos de equipo eléctrico n.c.p.</t>
  </si>
  <si>
    <t>2811 Fabricación de motores, turbinas, y partes para motores de combustión interna</t>
  </si>
  <si>
    <t>2812 Fabricación de equipos de potencia hidráulica y neumática</t>
  </si>
  <si>
    <t>2813 Fabricación de otras bombas, compresores, grifos y válvulas</t>
  </si>
  <si>
    <t>2814 Fabricación de cojinetes, engranajes, trenes de engranajes y piezas de transmisión</t>
  </si>
  <si>
    <t>2815 Fabricación de hornos, hogares y quemadores industriales</t>
  </si>
  <si>
    <t>2816 Fabricación de equipo de elevación y manipulación</t>
  </si>
  <si>
    <t>2817 Fabricación de maquinaria y equipo de oficina (excepto computadoras y equipo periférico)</t>
  </si>
  <si>
    <t>2818 Fabricación de herramientas manuales con motor</t>
  </si>
  <si>
    <t>2819 Fabricación de otros tipos de maquinaria y equipo de uso general n.c.p.</t>
  </si>
  <si>
    <t>2821 Fabricación de maquinaria agropecuaria y forestal</t>
  </si>
  <si>
    <t>2822 Fabricación de máquinas formadoras de metal y de máquinas herramienta</t>
  </si>
  <si>
    <t>2823 Fabricación de maquinaria para la metalurgia</t>
  </si>
  <si>
    <t>2824 Fabricación de maquinaria para explotación de minas y canteras y para obras de construcción</t>
  </si>
  <si>
    <t>2825 Fabricación de maquinaria para la elaboración de alimentos, bebidas y tabaco</t>
  </si>
  <si>
    <t>2826 Fabricación de maquinaria para la elaboración de productos textiles, prendas de vestir y cueros</t>
  </si>
  <si>
    <t>2829 Fabricación de otros tipos de maquinaria y equipo de uso especial n.c.p.</t>
  </si>
  <si>
    <t>2910 Fabricación de vehículos automotores y sus motores</t>
  </si>
  <si>
    <t xml:space="preserve">2920 Fabricación de carrocerías para vehículos automotores; fabricación de remolques y semirremolques </t>
  </si>
  <si>
    <t>2930 Fabricación de partes, piezas (autopartes) y accesorios (lujos) para vehículos automotores</t>
  </si>
  <si>
    <t>3011 Construcción de barcos y de estructuras flotantes</t>
  </si>
  <si>
    <t>3012 Construcción de embarcaciones de recreo y deporte</t>
  </si>
  <si>
    <t>3020 Fabricación de locomotoras y de material rodante para ferrocarriles</t>
  </si>
  <si>
    <t>3030 Fabricación de aeronaves, naves espaciales y de maquinaria conexa</t>
  </si>
  <si>
    <t>3040 Fabricación de vehículos militares de combate</t>
  </si>
  <si>
    <t>3091 Fabricación de motocicletas</t>
  </si>
  <si>
    <t>3092 Fabricación de bicicletas y de sillas de ruedas para personas con discapacidad</t>
  </si>
  <si>
    <t>3099 Fabricación de otros tipos de equipo de transporte n.c.p.</t>
  </si>
  <si>
    <t xml:space="preserve">3110 Fabricación de muebles </t>
  </si>
  <si>
    <t>3120 Fabricación de colchones y somieres</t>
  </si>
  <si>
    <t>3220 Fabricación de instrumentos musicales</t>
  </si>
  <si>
    <t>3230 Fabricación de artículos y equipo para la práctica del deporte</t>
  </si>
  <si>
    <t>3240 Fabricación de juegos, juguetes y rompecabezas</t>
  </si>
  <si>
    <t>3250 Fabricación de instrumentos, aparatos y materiales médicos y odontológicos (incluido mobiliario)</t>
  </si>
  <si>
    <t>3290 Otras industrias manufactureras n.c.p.</t>
  </si>
  <si>
    <t>3311 Mantenimiento y reparación especializado de productos elaborados en metal</t>
  </si>
  <si>
    <t>3312 Mantenimiento y reparación especializado de maquinaria y equipo</t>
  </si>
  <si>
    <t>3313 Mantenimiento y reparación especializado de equipo electrónico y óptico</t>
  </si>
  <si>
    <t>3314 Mantenimiento y reparación especializado de equipo eléctrico</t>
  </si>
  <si>
    <t>3315 Mantenimiento y reparación especializado de equipo de transporte, excepto los vehículos automotores, motocicletas y bicicletas</t>
  </si>
  <si>
    <t>3319 Mantenimiento y reparación de otros tipos de equipos y sus componentes n.c.p.</t>
  </si>
  <si>
    <t xml:space="preserve">3320 Instalación especializada de maquinaria y equipo industrial </t>
  </si>
  <si>
    <t>3511 Generación de energía eléctrica</t>
  </si>
  <si>
    <t>3512 Transmisión de energía eléctrica</t>
  </si>
  <si>
    <t>3513 Distribución de energía eléctrica</t>
  </si>
  <si>
    <t>3514 Comercialización de energía eléctrica</t>
  </si>
  <si>
    <t>3520 Producción de gas; distribución de combustibles gaseosos por tuberías</t>
  </si>
  <si>
    <t>3530 Suministro de vapor y aire acondicionado</t>
  </si>
  <si>
    <t>3822 Tratamiento y disposición de desechos peligrosos</t>
  </si>
  <si>
    <t>CONSTRUCCIÓN</t>
  </si>
  <si>
    <t>4111 Construcción de edificios residenciales</t>
  </si>
  <si>
    <t>4112 Construcción de edificios no residenciales</t>
  </si>
  <si>
    <t>4210 Construcción de carreteras y vías de ferrocarril</t>
  </si>
  <si>
    <t>4220 Construcción de proyectos de servicio público</t>
  </si>
  <si>
    <t>4290 Construcción de otras obras de ingeniería civil</t>
  </si>
  <si>
    <t>4311 Demolición</t>
  </si>
  <si>
    <t>4312 Preparación del terreno</t>
  </si>
  <si>
    <t>4321 Instalaciones eléctricas</t>
  </si>
  <si>
    <t>4322 Instalaciones de fontanería, calefacción y aire acondicionado</t>
  </si>
  <si>
    <t>4329 Otras instalaciones especializadas</t>
  </si>
  <si>
    <t>4330 Terminación y acabado de edificios y obras de ingeniería civil</t>
  </si>
  <si>
    <t>4390 Otras actividades especializadas para la construcción de edificios y obras de ingeniería civil</t>
  </si>
  <si>
    <t>4511 Comercio de vehículos automotores nuevos</t>
  </si>
  <si>
    <t>4512 Comercio de vehículos automotores usados</t>
  </si>
  <si>
    <t>4520 Mantenimiento y reparación de vehículos automotores</t>
  </si>
  <si>
    <t>4530 Comercio de partes, piezas (autopartes) y accesorios (lujos) para vehículos automotores</t>
  </si>
  <si>
    <t>4541 Comercio de motocicletas y de sus partes, piezas y accesorios</t>
  </si>
  <si>
    <t>4542 Mantenimiento y reparación de motocicletas y de sus partes y piezas</t>
  </si>
  <si>
    <t>4632 Comercio al por mayor de bebidas y tabaco</t>
  </si>
  <si>
    <t>4641 Comercio al por mayor de productos textiles, productos confeccionados para uso doméstico</t>
  </si>
  <si>
    <t>4642 Comercio al por mayor de prendas de vestir</t>
  </si>
  <si>
    <t>4643 Comercio al por mayor de calzado</t>
  </si>
  <si>
    <t>4644 Comercio al por mayor de aparatos y equipo de uso doméstico</t>
  </si>
  <si>
    <t>4645 Comercio al por mayor de productos farmacéuticos, medicinales, cosméticos y de tocador</t>
  </si>
  <si>
    <t>4649 Comercio al por mayor de otros utensilios domésticos n.c.p.</t>
  </si>
  <si>
    <t>4651 Comercio al por mayor de computadores, equipo periférico y programas de informática</t>
  </si>
  <si>
    <t>4652 Comercio al por mayor de equipo, partes y piezas electrónicos y de telecomunicaciones</t>
  </si>
  <si>
    <t>4653 Comercio al por mayor de maquinaria y equipo agropecuarios</t>
  </si>
  <si>
    <t>4659 Comercio al por mayor de otros tipos de maquinaria y equipo n.c.p.</t>
  </si>
  <si>
    <t>4661 Comercio al por mayor de combustibles sólidos, líquidos, gaseosos y productos conexos</t>
  </si>
  <si>
    <t>4662 Comercio al por mayor de metales y productos metalíferos</t>
  </si>
  <si>
    <t>4663 Comercio al por mayor de materiales de construcción, artículos de ferretería, pinturas, productos de vidrio, equipo y materiales de fontanería y calefacción</t>
  </si>
  <si>
    <t>4664 Comercio al por mayor de productos químicos básicos, cauchos y plásticos en formas primarias y productos químicos de uso agropecuario</t>
  </si>
  <si>
    <t>4665 Comercio al por mayor de desperdicios, desechos y chatarra</t>
  </si>
  <si>
    <t>4669 Comercio al por mayor de otros productos n.c.p.</t>
  </si>
  <si>
    <t>4690 Comercio al por mayor no especializado</t>
  </si>
  <si>
    <t>4719 Comercio al por menor en establecimientos no especializados, con surtido compuesto principalmente por productos diferentes de alimentos (víveres en general), bebidas y tabaco</t>
  </si>
  <si>
    <t>4724 Comercio al por menor de bebidas y productos del tabaco, en establecimientos especializados</t>
  </si>
  <si>
    <t>4729 Comercio al por menor de otros productos alimenticios n.c.p., en establecimientos especializados</t>
  </si>
  <si>
    <t>4731 Comercio al por menor de combustible, lubricantes, aditivos y productos de limpieza para automotores, en establecimientos especializados</t>
  </si>
  <si>
    <t>4732 Comercio al por menor de combustible para automotores</t>
  </si>
  <si>
    <t>4741 Comercio al por menor de lubricantes (aceites, grasas), aditivos y productos de limpieza para vehículos automotores</t>
  </si>
  <si>
    <t>4742 Comercio al por menor de equipos y aparatos de sonido y de video, en establecimientos especializados</t>
  </si>
  <si>
    <t>4751 Comercio al por menor de productos textiles en establecimientos especializados</t>
  </si>
  <si>
    <t>4752 Comercio al por menor de artículos de ferretería, pinturas y productos de vidrio en establecimientos especializados</t>
  </si>
  <si>
    <t>4753 Comercio al por menor de tapices, alfombras y cubrimientos para paredes y pisos en establecimientos especializados</t>
  </si>
  <si>
    <t>4754 Comercio al por menor de electrodomésticos y gasodomésticos de uso doméstico, muebles y equipos de iluminación</t>
  </si>
  <si>
    <t>4755 Comercio al por menor de artículos y utensilios de uso doméstico</t>
  </si>
  <si>
    <t>4759 Comercio al por menor de otros artículos domésticos en establecimientos especializados</t>
  </si>
  <si>
    <t>4761 Comercio al por menor de libros, periódicos, materiales y artículos de papelería y escritorio, en establecimientos especializados</t>
  </si>
  <si>
    <t xml:space="preserve">4762 Comercio al por menor de artículos deportivos, en establecimientos especializados </t>
  </si>
  <si>
    <t>4769 Comercio al por menor de otros artículos culturales y de entretenimiento n.c.p. en establecimientos especializados</t>
  </si>
  <si>
    <t>4771 Comercio al por menor de prendas de vestir y sus accesorios (incluye artículos de piel) en establecimientos especializados</t>
  </si>
  <si>
    <t>4772 Comercio al por menor de todo tipo de calzado y artículos de cuero y sucedáneos del cuero en establecimientos especializados.</t>
  </si>
  <si>
    <t>4773 Comercio al por menor de productos farmacéuticos y medicinales, cosméticos y artículos de tocador en establecimientos especializados</t>
  </si>
  <si>
    <t>4774 Comercio al por menor de otros productos nuevos en establecimientos especializados</t>
  </si>
  <si>
    <t>4775 Comercio al por menor de artículos de segunda mano</t>
  </si>
  <si>
    <t>4781 Comercio al por menor en puestos de venta móviles</t>
  </si>
  <si>
    <t>4782 Comercio al por menor de alimentos, bebidas y tabaco, en puestos de venta móviles</t>
  </si>
  <si>
    <t>4789 Comercio al por menor de productos textiles, prendas de vestir y calzado, en puestos de venta móviles</t>
  </si>
  <si>
    <t>4792 Comercio al por menor realizado a través de casas de venta o por correo</t>
  </si>
  <si>
    <t>4791 Comercio al por menor realizado a través de Internet</t>
  </si>
  <si>
    <t>4799 Otros tipos de comercio al por menor no realizado en establecimientos, puestos de venta o mercados.</t>
  </si>
  <si>
    <t>4911 Transporte férreo de pasajeros</t>
  </si>
  <si>
    <t xml:space="preserve">4912 Transporte férreo de carga </t>
  </si>
  <si>
    <t>4921 Transporte de pasajeros</t>
  </si>
  <si>
    <t>4922 Transporte mixto</t>
  </si>
  <si>
    <t>4923 Transporte de carga por carretera</t>
  </si>
  <si>
    <t>4930 Transporte por tuberías</t>
  </si>
  <si>
    <t xml:space="preserve">5011 Transporte de pasajeros marítimo y de cabotaje </t>
  </si>
  <si>
    <t xml:space="preserve">5012 Transporte de carga marítimo y de cabotaje </t>
  </si>
  <si>
    <t>5021 Transporte fluvial de pasajeros</t>
  </si>
  <si>
    <t>5022 Transporte fluvial de carga</t>
  </si>
  <si>
    <t xml:space="preserve">5111 Transporte aéreo nacional de pasajeros </t>
  </si>
  <si>
    <t xml:space="preserve">5112 Transporte aéreo internacional de pasajeros </t>
  </si>
  <si>
    <t xml:space="preserve">5121 Transporte aéreo nacional de carga </t>
  </si>
  <si>
    <t xml:space="preserve">5122 Transporte aéreo internacional de carga </t>
  </si>
  <si>
    <t>5210 Almacenamiento y depósito</t>
  </si>
  <si>
    <t>5221 Actividades de estaciones, vías y servicios complementarios para el transporte terrestre</t>
  </si>
  <si>
    <t>5222 Actividades de puertos y servicios complementarios para el transporte acuático</t>
  </si>
  <si>
    <t>5223 Actividades de aeropuertos, servicios de navegación aérea y demás actividades conexas al transporte aéreo</t>
  </si>
  <si>
    <t>5224 Manipulación de carga</t>
  </si>
  <si>
    <t>5229 Otras actividades complementarias al transporte</t>
  </si>
  <si>
    <t>5310 Actividades postales nacionales</t>
  </si>
  <si>
    <t>5320 Actividades de mensajería</t>
  </si>
  <si>
    <t xml:space="preserve">5511 Alojamiento en hoteles </t>
  </si>
  <si>
    <t>5512 Alojamiento en apartahoteles</t>
  </si>
  <si>
    <t xml:space="preserve">5513 Alojamiento en centros vacacionales </t>
  </si>
  <si>
    <t xml:space="preserve">5530 Servicio por horas </t>
  </si>
  <si>
    <t>5613 Expendio de comidas preparadas en cafeterías</t>
  </si>
  <si>
    <t>5621 Catering para eventos</t>
  </si>
  <si>
    <t>5630 Expendio de bebidas alcohólicas para el consumo dentro del establecimiento</t>
  </si>
  <si>
    <t>5811 Edición de libros</t>
  </si>
  <si>
    <t>5812 Edición de directorios y listas de correo</t>
  </si>
  <si>
    <t>5813 Edición de periódicos, revistas y otras publicaciones periódicas</t>
  </si>
  <si>
    <t>5819 Otros trabajos de edición</t>
  </si>
  <si>
    <r>
      <t>5820 Edición de programas de informática (</t>
    </r>
    <r>
      <rPr>
        <i/>
        <sz val="10"/>
        <rFont val="Futura Std Book"/>
        <family val="2"/>
        <charset val="1"/>
      </rPr>
      <t>software</t>
    </r>
    <r>
      <rPr>
        <sz val="10"/>
        <rFont val="Futura Std Book"/>
        <family val="2"/>
        <charset val="1"/>
      </rPr>
      <t>)</t>
    </r>
  </si>
  <si>
    <t>5911 Actividades de producción de películas cinematográficas, videos, programas, anuncios y comerciales de televisión</t>
  </si>
  <si>
    <t>5912 Actividades de posproducción de películas cinematográficas, videos, programas, anuncios y comerciales de televisión</t>
  </si>
  <si>
    <t>5913 Actividades de distribución de películas cinematográficas, videos, programas, anuncios y comerciales de televisión</t>
  </si>
  <si>
    <t>5914 Actividades de exhibición de películas cinematográficas y videos</t>
  </si>
  <si>
    <t>5920 Actividades de grabación de sonido y edición de música</t>
  </si>
  <si>
    <t>6010 Actividades de programación y transmisión en el servicio de radiodifusión sonora</t>
  </si>
  <si>
    <t>6020 Actividades de programación y transmisión de televisión</t>
  </si>
  <si>
    <t>6110 Actividades de telecomunicaciones alámbricas</t>
  </si>
  <si>
    <t>6120 Actividades de telecomunicaciones inalámbricas</t>
  </si>
  <si>
    <t>6130 Actividades de telecomunicación satelital</t>
  </si>
  <si>
    <t>6190 Otras actividades de telecomunicaciones</t>
  </si>
  <si>
    <t>6201 Actividades de desarrollo de sistemas informáticos (planificación, análisis, diseño, programación, pruebas)</t>
  </si>
  <si>
    <t>6209 Otras actividades de tecnologías de información y actividades de servicios informáticos</t>
  </si>
  <si>
    <t>6202 Actividades de consultoría informática y actividades de administración de instalaciones informáticas</t>
  </si>
  <si>
    <r>
      <t>6311 Procesamiento de datos, alojamiento (</t>
    </r>
    <r>
      <rPr>
        <i/>
        <sz val="10"/>
        <rFont val="Futura Std Book"/>
        <family val="2"/>
        <charset val="1"/>
      </rPr>
      <t>hosting</t>
    </r>
    <r>
      <rPr>
        <sz val="10"/>
        <rFont val="Futura Std Book"/>
        <family val="2"/>
        <charset val="1"/>
      </rPr>
      <t>) y actividades relacionadas</t>
    </r>
  </si>
  <si>
    <t>6312 Portales web</t>
  </si>
  <si>
    <t>6391 Actividades de agencias de noticias</t>
  </si>
  <si>
    <t>6399 Otras actividades de servicio de información n.c.p.</t>
  </si>
  <si>
    <t>6411 Banco Central</t>
  </si>
  <si>
    <t>6412 Bancos comerciales</t>
  </si>
  <si>
    <t>6421 Actividades de las corporaciones financieras</t>
  </si>
  <si>
    <t>6422 Actividades de las compañías de financiamiento</t>
  </si>
  <si>
    <t>6423 Banca de segundo piso</t>
  </si>
  <si>
    <t>6424 Actividades de las cooperativas financieras</t>
  </si>
  <si>
    <t>6431 Fideicomisos, fondos y entidades financieras similares</t>
  </si>
  <si>
    <t>6432 Fondos de cesantías</t>
  </si>
  <si>
    <t>6491 Leasing financiero (arrendamiento financiero)</t>
  </si>
  <si>
    <t>6492 Actividades financieras de fondos de empleados y otras formas asociativas del sector solidario</t>
  </si>
  <si>
    <r>
      <t xml:space="preserve">6493 Actividades de compra de cartera o </t>
    </r>
    <r>
      <rPr>
        <i/>
        <sz val="10"/>
        <rFont val="Futura Std Book"/>
        <family val="2"/>
        <charset val="1"/>
      </rPr>
      <t>factoring</t>
    </r>
  </si>
  <si>
    <t>6494 Otras actividades de distribución de fondos</t>
  </si>
  <si>
    <t>6495 Instituciones especiales oficiales</t>
  </si>
  <si>
    <t>6499 Otras actividades de servicio financiero, excepto las de seguros y pensiones n.c.p.</t>
  </si>
  <si>
    <t xml:space="preserve">6511 Seguros generales </t>
  </si>
  <si>
    <t>6512 Seguros de vida</t>
  </si>
  <si>
    <t>6513 Reaseguros</t>
  </si>
  <si>
    <t>6514 Capitalización</t>
  </si>
  <si>
    <t>6521 Servicios de seguros sociales de salud</t>
  </si>
  <si>
    <t>6522 Servicios de seguros sociales de riesgos profesionales</t>
  </si>
  <si>
    <t>6531 Régimen de prima media con prestación definida (RPM)</t>
  </si>
  <si>
    <t>6532 Régimen de ahorro individual (RAI)</t>
  </si>
  <si>
    <t>6611 Administración de mercados financieros</t>
  </si>
  <si>
    <t>6612 Corretaje de valores y de contratos de productos básicos</t>
  </si>
  <si>
    <t>6613 Otras actividades relacionadas con el mercado de valores</t>
  </si>
  <si>
    <t>6614 Actividades de las casas de cambio</t>
  </si>
  <si>
    <t>6615 Actividades de los profesionales de compra y venta de divisas</t>
  </si>
  <si>
    <t>6619 Otras actividades auxiliares de las actividades de servicios financieros n.c.p.</t>
  </si>
  <si>
    <t>6621 Actividades de agentes y corredores de seguros</t>
  </si>
  <si>
    <t>6629 Evaluación de riesgos y daños, y otras actividades de servicios auxiliares</t>
  </si>
  <si>
    <t>6630 Actividades de administración de fondos</t>
  </si>
  <si>
    <t xml:space="preserve">6820 Actividades inmobiliarias realizadas a cambio de una retribución o por contrata </t>
  </si>
  <si>
    <t>6910 Actividades jurídicas</t>
  </si>
  <si>
    <t>6920 Actividades de contabilidad, teneduría de libros, auditoría financiera y asesoría tributaria</t>
  </si>
  <si>
    <t>7010 Actividades de administración empresarial</t>
  </si>
  <si>
    <t>7020 Actividades de consultaría de gestión</t>
  </si>
  <si>
    <t>7110 Actividades de arquitectura e ingeniería y otras actividades conexas de consultoría técnica</t>
  </si>
  <si>
    <t>7120 Ensayos y análisis técnicos</t>
  </si>
  <si>
    <t xml:space="preserve">7210 Investigaciones y desarrollo experimental en el campo de las ciencias naturales y la ingeniería </t>
  </si>
  <si>
    <t>7220 Investigaciones y desarrollo experimental en el campo de las ciencias sociales y las humanidades</t>
  </si>
  <si>
    <t>7310 Publicidad</t>
  </si>
  <si>
    <t>7320 Estudios de mercado y realización de encuestas de opinión pública</t>
  </si>
  <si>
    <t xml:space="preserve">7410 Actividades especializadas de diseño </t>
  </si>
  <si>
    <t>7420 Actividades de fotografía</t>
  </si>
  <si>
    <t>7490 Otras actividades profesionales, científicas y técnicas n.c.p.</t>
  </si>
  <si>
    <t>7500 Actividades veterinarias</t>
  </si>
  <si>
    <t>7710 Alquiler y arrendamiento de vehículos automotores</t>
  </si>
  <si>
    <t>7721 Alquiler y arrendamiento de equipo recreativo y deportivo</t>
  </si>
  <si>
    <t xml:space="preserve">7722 Alquiler de videos y discos </t>
  </si>
  <si>
    <t>7729 Alquiler y arrendamiento de otros efectos personales y enseres domésticos n.c.p.</t>
  </si>
  <si>
    <t>7730 Alquiler y arrendamiento de otros tipos de maquinaria, equipo y bienes tangibles n.c.p.</t>
  </si>
  <si>
    <t>7740 Arrendamiento de propiedad intelectual y productos similares, excepto obras protegidas por derechos de autor</t>
  </si>
  <si>
    <t>7810 Actividades de agencias de empleo</t>
  </si>
  <si>
    <t>7820 Actividades de agencias de empleo temporal</t>
  </si>
  <si>
    <t>7830 Otras actividades de suministro de recurso humano</t>
  </si>
  <si>
    <t>7911 Actividades de las agencias de viaje</t>
  </si>
  <si>
    <t>8010 Actividades de seguridad privada</t>
  </si>
  <si>
    <t>8020 Actividades de servicios de sistemas de seguridad</t>
  </si>
  <si>
    <t>8030 Actividades de detectives e investigadores privados</t>
  </si>
  <si>
    <t>8110 Actividades combinadas de apoyo a instalaciones</t>
  </si>
  <si>
    <t>8121 Limpieza general interior de edificios</t>
  </si>
  <si>
    <t>8129 Otras actividades de limpieza de edificios e instalaciones industriales</t>
  </si>
  <si>
    <t>8130 Actividades de paisajismo y servicios de mantenimiento conexos</t>
  </si>
  <si>
    <t>8211 Actividades combinadas de servicios administrativos de oficina</t>
  </si>
  <si>
    <t>8219 Fotocopiado, preparación de documentos y otras actividades especializadas de apoyo a oficina</t>
  </si>
  <si>
    <t>8220 Actividades de centros de llamadas (Call center)</t>
  </si>
  <si>
    <t>8230 Organización de convenciones y eventos comerciales</t>
  </si>
  <si>
    <t>8291 Actividades de agencias de cobranza y oficinas de calificación crediticia</t>
  </si>
  <si>
    <t>8292 Actividades de envase y empaque</t>
  </si>
  <si>
    <t>8299 Otras actividades de servicio de apoyo a las empresas n.c.p.</t>
  </si>
  <si>
    <t>8411 Actividades legislativas de la administración pública</t>
  </si>
  <si>
    <t>8412 Actividades ejecutivas de la administración pública</t>
  </si>
  <si>
    <t xml:space="preserve">8413 Regulación de las actividades de organismos que prestan servicios de salud, educativos, culturales y otros servicios sociales, excepto servicios de seguridad social </t>
  </si>
  <si>
    <t>8414 Actividades reguladoras y facilitadoras de la actividad económica</t>
  </si>
  <si>
    <t>8415 Actividades de los otros órganos de control</t>
  </si>
  <si>
    <t xml:space="preserve">8421 Relaciones exteriores </t>
  </si>
  <si>
    <t>8422 Actividades de defensa</t>
  </si>
  <si>
    <t>8423 Orden público y actividades de seguridad</t>
  </si>
  <si>
    <t>8424 Administración de justicia</t>
  </si>
  <si>
    <t>8430 Actividades de planes de seguridad social de afiliación obligatoria</t>
  </si>
  <si>
    <t>EDUCACIÓN</t>
  </si>
  <si>
    <t>8511 Educación de la primera infancia</t>
  </si>
  <si>
    <t>8512 Educación preescolar</t>
  </si>
  <si>
    <t>8513 Educación básica primaria</t>
  </si>
  <si>
    <t>6810 Actividades inmobiliarias realizadas con bienes propios o arrendados</t>
  </si>
  <si>
    <t xml:space="preserve">8521 Educación básica secundaria </t>
  </si>
  <si>
    <t>8522 Educación media académica</t>
  </si>
  <si>
    <t>8523 Educación media técnica y de formación laboral</t>
  </si>
  <si>
    <t xml:space="preserve">8530 Establecimientos que combinan diferentes niveles de educación </t>
  </si>
  <si>
    <t>8541 Educación técnica profesional</t>
  </si>
  <si>
    <t>8542 Educación tecnológica</t>
  </si>
  <si>
    <t>8543 Educación de instituciones universitarias o de escuelas tecnológicas</t>
  </si>
  <si>
    <t>8544 Educación de universidades</t>
  </si>
  <si>
    <t xml:space="preserve">8551 Formación académica no formal </t>
  </si>
  <si>
    <t>8552 Enseñanza deportiva y recreativa</t>
  </si>
  <si>
    <t>8553 Enseñanza cultural</t>
  </si>
  <si>
    <t>8559 Otros tipos de educación n.c.p.</t>
  </si>
  <si>
    <t>8560 Actividades de apoyo a la educación</t>
  </si>
  <si>
    <t>8610 Actividades de hospitales y clínicas, con internación</t>
  </si>
  <si>
    <t>8621 Actividades de la práctica médica, sin internación</t>
  </si>
  <si>
    <t>8622 Actividades de la práctica odontológica</t>
  </si>
  <si>
    <t>8691 Actividades de apoyo diagnóstico</t>
  </si>
  <si>
    <t>8692 Actividades de apoyo terapéutico</t>
  </si>
  <si>
    <t>8699 Otras actividades de atención de la salud humana</t>
  </si>
  <si>
    <t>8710 Actividades de atención residencial medicalizada de tipo general</t>
  </si>
  <si>
    <t>8720 Actividades de atención residencial, para el cuidado de pacientes con retardo mental, enfermedad mental y consumo de sustancias psicoactivas</t>
  </si>
  <si>
    <t>8730 Actividades de atención en instituciones para el cuidado de personas mayores y/o discapacitadas</t>
  </si>
  <si>
    <t>8790 Otras actividades de atención en instituciones con alojamiento</t>
  </si>
  <si>
    <t>8810 Actividades de asistencia social sin alojamiento para personas mayores y discapacitadas</t>
  </si>
  <si>
    <t>8890 Otras actividades de asistencia social sin alojamiento</t>
  </si>
  <si>
    <t>9001 Creación literaria</t>
  </si>
  <si>
    <t>9002 Creación musical</t>
  </si>
  <si>
    <t>9003 Creación teatral</t>
  </si>
  <si>
    <t>9004 Creación audiovisual</t>
  </si>
  <si>
    <t>9005 Artes plásticas y visuales</t>
  </si>
  <si>
    <t>9006 Actividades teatrales</t>
  </si>
  <si>
    <t>9007 Actividades de espectáculos musicales en vivo</t>
  </si>
  <si>
    <t>9008 Otras actividades de espectáculos en vivo</t>
  </si>
  <si>
    <t>9101 Actividades de bibliotecas y archivos</t>
  </si>
  <si>
    <t>9102 Actividades y funcionamiento de museos, conservación de edificios y sitios históricos</t>
  </si>
  <si>
    <t>9103 Actividades de jardines botánicos, zoológicos y reservas naturales</t>
  </si>
  <si>
    <t>9200 Actividades de juegos de azar y apuestas</t>
  </si>
  <si>
    <t>9311 Gestión de instalaciones deportivas</t>
  </si>
  <si>
    <t>9312 Actividades de clubes deportivos</t>
  </si>
  <si>
    <t>9319 Otras actividades deportivas</t>
  </si>
  <si>
    <t>9321 Actividades de parques de atracciones y parques temáticos</t>
  </si>
  <si>
    <t>9329 Otras actividades recreativas y de esparcimiento n.c.p.</t>
  </si>
  <si>
    <t>9411 Actividades de asociaciones empresariales y de empleadores</t>
  </si>
  <si>
    <t>9412 Actividades de asociaciones profesionales</t>
  </si>
  <si>
    <t>9420 Actividades de sindicatos de empleados</t>
  </si>
  <si>
    <t>9491 Actividades de asociaciones religiosas</t>
  </si>
  <si>
    <t>9492 Actividades de asociaciones políticas</t>
  </si>
  <si>
    <t>9499 Actividades de otras asociaciones n.c.p.</t>
  </si>
  <si>
    <t>9511 Mantenimiento y reparación de computadores y de equipo periférico</t>
  </si>
  <si>
    <t>9512 Mantenimiento y reparación de equipos de comunicación</t>
  </si>
  <si>
    <t>9521 Mantenimiento y reparación de aparatos electrónicos de consumo</t>
  </si>
  <si>
    <t xml:space="preserve">9522 Mantenimiento y reparación de aparatos y equipos domésticos y de jardinería </t>
  </si>
  <si>
    <t>9523 Reparación de calzado y artículos de cuero</t>
  </si>
  <si>
    <t>9524 Reparación de muebles y accesorios para el hogar</t>
  </si>
  <si>
    <t>9529 Mantenimiento y reparación de otros efectos personales y enseres domésticos</t>
  </si>
  <si>
    <t>9601 Lavado y limpieza, incluso la limpieza en seco, de productos textiles y de piel</t>
  </si>
  <si>
    <t>9602 Peluquería y otros tratamientos de belleza</t>
  </si>
  <si>
    <t>9603 Pompas fúnebres y actividades relacionadas</t>
  </si>
  <si>
    <t>9609 Otras actividades de servicios personales n.c.p.</t>
  </si>
  <si>
    <t>1200 Elaboración de productos de tabaco</t>
  </si>
  <si>
    <t>AGRICULTURA_GANADERÍA_CAZA_SILVICULTURA_Y_PESCA</t>
  </si>
  <si>
    <t>EXPLOTACIÓN_DE_MINAS_Y_CANTERAS</t>
  </si>
  <si>
    <t>INDUSTRIAS_MANUFACTURERAS</t>
  </si>
  <si>
    <t>SUMINISTRO_DE_ELECTRICIDAD_GAS_VAPOR_Y_AIRE_ACONDICIONADO</t>
  </si>
  <si>
    <t>DISTRIBUCIÓN_DE_AGUA_EVACUACIÓN_Y_TRATAMIENTO_DE_AGUAS_RESIDUALES_GESTIÓN_DE_DESECHOS_Y_ACTIVIDADES_DE_SANEAMIENTO_AMBIENTAL</t>
  </si>
  <si>
    <t>COMERCIO_AL_POR_MAYOR_Y_AL_POR_MENOR_REPARACIÓN_DE_VEHÍCULOS_AUTOMOTORES_Y_MOTOCICLETAS</t>
  </si>
  <si>
    <t>TRANSPORTE_Y_ALMACENAMIENTO</t>
  </si>
  <si>
    <t>ALOJAMIENTO_Y_SERVICIOS_DE_COMIDA</t>
  </si>
  <si>
    <t>INFORMACIÓN_Y_COMUNICACIONES</t>
  </si>
  <si>
    <t>ACTIVIDADES_FINANCIERAS_Y_DE_SEGUROS</t>
  </si>
  <si>
    <t>ACTIVIDADES_INMOBILIARIAS</t>
  </si>
  <si>
    <t>PROYECTO ESPECIAL (LÍNEA CREAR)</t>
  </si>
  <si>
    <t xml:space="preserve">En este espacio debe identificar "El cliente" ese que le va a comprar sus productos o servicios, lo más detallado posible, como se conoce a un hijo o a un familiar muy cercano. </t>
  </si>
  <si>
    <t>7. TRÁMITES LEGALES (PERMISOS Y LICENCIAS)</t>
  </si>
  <si>
    <t>1.¿QUIEN ES EL CLIENTE DE SU PROYECTO? (Quien compra mis productos o servicios)</t>
  </si>
  <si>
    <t>4. DESCRIPCIÓN DEL PROYECTO (Qué es lo que voy a ofrecer?)</t>
  </si>
  <si>
    <t>En este punto debe describir el proceso de producción o prestación del servicio. Detalle paso a paso tal y como son cada una de las actividades de todo el proceso. No olvide incluir aquellos aspectos que sean diferenciadores (Ej: Fungicidas amigables con el medio ambiente, controladores biológicos, temporalidades del cultivo, entre otras</t>
  </si>
  <si>
    <t>8. CANALES (¿Cómo van a conocer mi negocio?)</t>
  </si>
  <si>
    <t>Mano de Obra</t>
  </si>
  <si>
    <t>Respetado Emprendedor: El monto debe coincidir con la información consignada en la celda R20 de la hoja Proyecto frente a la pregunta ¿Es un proyecto asociativo?</t>
  </si>
  <si>
    <t>Estrategia de Comunicación</t>
  </si>
  <si>
    <t>3. LA COMPETENCIA (Quien más lo hace?)</t>
  </si>
  <si>
    <t xml:space="preserve">En este espacio se responde a la pregunta ¿Cuál es el problema o necesidad que se pretende solucionar? ¿Cómo le estoy ayudando al cliente) Ojo! No es su problema personal o del grupo asociativo, sino el problema o necesidad del posible cliente del punto anterior. </t>
  </si>
  <si>
    <t>9. PROYECCIÓN DE VENTAS (Cuánto espero vender?)</t>
  </si>
  <si>
    <t>Justificación: Explique las razones por las que se hace necesario crear un grupo asociativo en vez de hacerlo individual ¿Cuál es ese objetivo común del grupo asociativo? ¿por qué es importante trabajar en conjunto para lograr ese objetivo común?</t>
  </si>
  <si>
    <t xml:space="preserve">Diligenciar este elemento y la Hoja Grupo Asociativo únicamente si el proyecto a presentar es un modelo asociativo. </t>
  </si>
  <si>
    <r>
      <t xml:space="preserve">Por favor diligenciar el monto en pesos ($) en el mes en el que se ejecutarán </t>
    </r>
    <r>
      <rPr>
        <b/>
        <sz val="18"/>
        <rFont val="Century Gothic"/>
        <family val="2"/>
      </rPr>
      <t>los recursos solicitados al Fondo Emprender</t>
    </r>
    <r>
      <rPr>
        <sz val="18"/>
        <rFont val="Century Gothic"/>
        <family val="2"/>
      </rPr>
      <t xml:space="preserve"> de acuerdo con las actividades planteadas previamente en el punto 12. Necesidades y Requerimientos. Los recursos deberán ser ejecutados máximo hasta el Mes 9 de ejecución del proyecto.</t>
    </r>
  </si>
  <si>
    <r>
      <t xml:space="preserve">Para desarrollar su proyecto debe contar con un lugar de operaciones. Si llega a ser beneficiario de los recursos del Fondo Emprender, en el momento de la suscripción del contrato de cooperación empresarial, se debe evidenciar la gestión del sitio de operaciones; para este caso, se solicita que, se presente uso de suelos donde se tiene planeado realizar la actividad económica y el certificado de tradición donde se demuestre la sana posesión del inmueble o certificación de la sana posesión(Alcaldía). Si el predio está en sucesión se recomienda haber iniciado el proceso o iniciarlo y que se cuente con la autorización de todos los involucrados.
</t>
    </r>
    <r>
      <rPr>
        <b/>
        <u/>
        <sz val="16"/>
        <color indexed="8"/>
        <rFont val="Century Gothic"/>
        <family val="2"/>
      </rPr>
      <t>El plazo máximo será no mayor a un mes de la suscripción del acta de inicio del contrato de cooperación empresarial para estos documentos</t>
    </r>
    <r>
      <rPr>
        <sz val="16"/>
        <color indexed="8"/>
        <rFont val="Century Gothic"/>
        <family val="2"/>
      </rPr>
      <t>. En caso de superar este plazo, el contrato de cooperación empresarial se terminará unilateralmente, por lo que es fundamental prever el lugar de operaciones de su proyecto desde este momento, la formulación de su proyecto.</t>
    </r>
  </si>
  <si>
    <t xml:space="preserve"> Al tomar la decisión de desarrollar un proyecto es importante tener clara la información de ¿Qué queremos hacer? ¿Cómo lo vamos a hacer? ¿Que vamos a vender? ¿Quien nos va a comprar? entre otros. Con el acompañamiento del SENA, vamos a orientarlo para que construya su iniciativa productiva.</t>
  </si>
  <si>
    <t xml:space="preserve"> GASTOS ANTES DE INICIAR (PREOPERATIVOS)</t>
  </si>
  <si>
    <t>TOTAL  GASTOS PREOPERATIVOS</t>
  </si>
  <si>
    <t>Coordinación Nacional de Emprendimiento, Dirección de Empleo y Trabajo (2025)</t>
  </si>
  <si>
    <t>ACTIVIDADES_DE_ATENCIÓN_DE_LA_SALUD_HUMANA_Y_DE_ASISTENCIA_SOCIAL</t>
  </si>
  <si>
    <t>OTRAS_ACTIVIDADES_DE_SERVICIOS</t>
  </si>
  <si>
    <t>ACTIVIDADES_ARTÍSTICAS_DE_ENTRETENIMIENTO_Y_RECREACIÓN</t>
  </si>
  <si>
    <t>ADMINISTRACIÓN_PÚBLICA_Y_DEFENSA_PLANES_DE_SEGURIDAD_SOCIAL_DE_AFILIACIÓN_OBLIGATORIA</t>
  </si>
  <si>
    <t>ACTIVIDADES_DE_SERVICIOS_ADMINISTRATIVOS_Y_DE_APOYO</t>
  </si>
  <si>
    <t>ACTIVIDADES_PROFESIONALES_CIENTÍFICAS_Y_TÉCNICAS</t>
  </si>
  <si>
    <t>463 Comercio al por mayor de alimentos, bebidas y tabaco</t>
  </si>
  <si>
    <t>AGROPECUARIO</t>
  </si>
  <si>
    <t>AGROINDUSTRIA</t>
  </si>
  <si>
    <t>ARTESANÍAS</t>
  </si>
  <si>
    <t>TURISMO</t>
  </si>
  <si>
    <t>MEDIO_AMBIENTE</t>
  </si>
  <si>
    <t>TIPO PROYECTO</t>
  </si>
  <si>
    <t>TIPO_PN</t>
  </si>
  <si>
    <t>ECONOMÍA_CAMPESINA</t>
  </si>
  <si>
    <t>ECONOMÍA_POPULAR</t>
  </si>
  <si>
    <t>COMERCIO_EC</t>
  </si>
  <si>
    <t>|</t>
  </si>
  <si>
    <r>
      <t xml:space="preserve">En este punto quedan descritos los indicadores  de acuerdo con la información previamente diligenciada y con los que </t>
    </r>
    <r>
      <rPr>
        <b/>
        <u/>
        <sz val="18"/>
        <color indexed="8"/>
        <rFont val="Century Gothic"/>
        <family val="2"/>
      </rPr>
      <t>se compromete el emprendedor o grupo de emprendedores, en la ejecución de su proyecto</t>
    </r>
    <r>
      <rPr>
        <sz val="18"/>
        <color indexed="8"/>
        <rFont val="Century Gothic"/>
        <family val="2"/>
      </rPr>
      <t xml:space="preserve"> si llega(n) a ser beneficiario(s) de los recursos del Fondo Emprender</t>
    </r>
  </si>
  <si>
    <t>Respetado Emprendedor: El monto solicitado debe coincidir con la información consignada en la celda R21 frente a la pregunta ¿Es un proyecto asociativo?</t>
  </si>
  <si>
    <r>
      <t xml:space="preserve">MONTO MÁXIMO A SOLICITAR </t>
    </r>
    <r>
      <rPr>
        <b/>
        <sz val="16"/>
        <color indexed="8"/>
        <rFont val="Century Gothic"/>
        <family val="2"/>
      </rPr>
      <t>LÍNEA CREAR INDIVIDUAL</t>
    </r>
    <r>
      <rPr>
        <sz val="16"/>
        <color indexed="8"/>
        <rFont val="Century Gothic"/>
        <family val="2"/>
      </rPr>
      <t xml:space="preserve"> DE ACUERDO CON TÉRMINOS DE REFERENCIA</t>
    </r>
  </si>
  <si>
    <r>
      <t xml:space="preserve">¿Cuál es el tipo de constitución legal que tendrá el proyecto? </t>
    </r>
    <r>
      <rPr>
        <b/>
        <sz val="18"/>
        <color indexed="8"/>
        <rFont val="Century Gothic"/>
        <family val="2"/>
      </rPr>
      <t>Es importante analizar de acuerdo con su actividad económica y lo planteado en el proyecto cual es la mejor forma de legalización si llega a ser beneficiario los recursos del Fondo Emprender</t>
    </r>
    <r>
      <rPr>
        <sz val="18"/>
        <color indexed="8"/>
        <rFont val="Century Gothic"/>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</si>
</sst>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6" formatCode="&quot;$&quot;\ #,##0;[Red]\-&quot;$&quot;\ #,##0"/>
    <numFmt numFmtId="42" formatCode="_-&quot;$&quot;\ * #,##0_-;\-&quot;$&quot;\ * #,##0_-;_-&quot;$&quot;\ * &quot;-&quot;_-;_-@_-"/>
    <numFmt numFmtId="170" formatCode="&quot;$&quot;\ #,##0"/>
    <numFmt numFmtId="171" formatCode="_(* #,##0.00_);_(* \(#,##0.00\);_(* &quot;-&quot;??_);_(@_)"/>
    <numFmt numFmtId="172" formatCode="[$$-240A]\ #,##0;\-[$$-240A]\ #,##0"/>
    <numFmt numFmtId="173" formatCode="_(* #,##0_);_(* \(#,##0\);_(* &quot;-&quot;??_);_(@_)"/>
    <numFmt numFmtId="174" formatCode="0.0%"/>
  </numFmts>
  <fonts count="73">
    <font>
      <sz val="11"/>
      <color theme="1"/>
      <name val="Aptos Narrow"/>
      <family val="2"/>
      <charset val="1"/>
      <scheme val="minor"/>
    </font>
    <font>
      <sz val="18"/>
      <color indexed="8"/>
      <name val="Century Gothic"/>
      <family val="2"/>
    </font>
    <font>
      <b/>
      <sz val="16"/>
      <color indexed="8"/>
      <name val="Century Gothic"/>
      <family val="2"/>
    </font>
    <font>
      <sz val="8"/>
      <name val="Aptos Narrow"/>
      <family val="2"/>
      <charset val="1"/>
    </font>
    <font>
      <sz val="18"/>
      <name val="Century Gothic"/>
      <family val="2"/>
    </font>
    <font>
      <b/>
      <sz val="18"/>
      <name val="Century Gothic"/>
      <family val="2"/>
    </font>
    <font>
      <b/>
      <sz val="20"/>
      <name val="Century Gothic"/>
      <family val="2"/>
    </font>
    <font>
      <sz val="20"/>
      <name val="Century Gothic"/>
      <family val="2"/>
    </font>
    <font>
      <sz val="16"/>
      <name val="Century Gothic"/>
      <family val="2"/>
    </font>
    <font>
      <sz val="11"/>
      <color indexed="9"/>
      <name val="Century Gothic"/>
      <family val="2"/>
    </font>
    <font>
      <b/>
      <sz val="14"/>
      <name val="Century Gothic"/>
      <family val="2"/>
    </font>
    <font>
      <sz val="10"/>
      <name val="Arial"/>
      <family val="2"/>
    </font>
    <font>
      <b/>
      <sz val="16"/>
      <name val="Century Gothic"/>
      <family val="2"/>
    </font>
    <font>
      <sz val="11"/>
      <color indexed="8"/>
      <name val="Century Gothic"/>
      <family val="2"/>
    </font>
    <font>
      <sz val="18"/>
      <color indexed="8"/>
      <name val="Century Gothic"/>
      <family val="2"/>
    </font>
    <font>
      <b/>
      <sz val="10"/>
      <name val="Arial"/>
      <family val="2"/>
    </font>
    <font>
      <sz val="18"/>
      <color indexed="8"/>
      <name val="Century Gothic"/>
      <family val="2"/>
    </font>
    <font>
      <b/>
      <sz val="18"/>
      <color indexed="8"/>
      <name val="Century Gothic"/>
      <family val="2"/>
    </font>
    <font>
      <sz val="14"/>
      <color indexed="8"/>
      <name val="Century Gothic"/>
      <family val="2"/>
    </font>
    <font>
      <sz val="12"/>
      <color indexed="8"/>
      <name val="Century Gothic"/>
      <family val="2"/>
    </font>
    <font>
      <sz val="14"/>
      <name val="Century Gothic"/>
      <family val="2"/>
    </font>
    <font>
      <b/>
      <sz val="18"/>
      <color indexed="8"/>
      <name val="Century Gothic"/>
      <family val="2"/>
    </font>
    <font>
      <b/>
      <sz val="12"/>
      <name val="Century Gothic"/>
      <family val="2"/>
    </font>
    <font>
      <sz val="14"/>
      <color indexed="9"/>
      <name val="Century Gothic"/>
      <family val="2"/>
    </font>
    <font>
      <b/>
      <u/>
      <sz val="18"/>
      <color indexed="8"/>
      <name val="Century Gothic"/>
      <family val="2"/>
    </font>
    <font>
      <sz val="10"/>
      <name val="Century Gothic"/>
      <family val="2"/>
    </font>
    <font>
      <sz val="11"/>
      <name val="Century Gothic"/>
      <family val="2"/>
    </font>
    <font>
      <sz val="10"/>
      <name val="Futura Std Book"/>
      <family val="2"/>
      <charset val="1"/>
    </font>
    <font>
      <i/>
      <sz val="10"/>
      <name val="Futura Std Book"/>
      <family val="2"/>
      <charset val="1"/>
    </font>
    <font>
      <sz val="16"/>
      <color indexed="8"/>
      <name val="Century Gothic"/>
      <family val="2"/>
    </font>
    <font>
      <b/>
      <u/>
      <sz val="16"/>
      <color indexed="8"/>
      <name val="Century Gothic"/>
      <family val="2"/>
    </font>
    <font>
      <sz val="16"/>
      <color indexed="8"/>
      <name val="Century Gothic"/>
      <family val="2"/>
    </font>
    <font>
      <b/>
      <sz val="16"/>
      <color indexed="8"/>
      <name val="Century Gothic"/>
      <family val="2"/>
    </font>
    <font>
      <sz val="11"/>
      <color theme="1"/>
      <name val="Aptos Narrow"/>
      <family val="2"/>
      <charset val="1"/>
      <scheme val="minor"/>
    </font>
    <font>
      <sz val="11"/>
      <color theme="0"/>
      <name val="Aptos Narrow"/>
      <family val="2"/>
      <charset val="1"/>
      <scheme val="minor"/>
    </font>
    <font>
      <u/>
      <sz val="11"/>
      <color theme="10"/>
      <name val="Aptos Narrow"/>
      <family val="2"/>
      <charset val="1"/>
      <scheme val="minor"/>
    </font>
    <font>
      <sz val="11"/>
      <color theme="1"/>
      <name val="Century Gothic"/>
      <family val="2"/>
    </font>
    <font>
      <b/>
      <sz val="20"/>
      <color theme="0"/>
      <name val="Century Gothic"/>
      <family val="2"/>
    </font>
    <font>
      <b/>
      <sz val="14"/>
      <color theme="0"/>
      <name val="Century Gothic"/>
      <family val="2"/>
    </font>
    <font>
      <sz val="12"/>
      <color rgb="FF00304D"/>
      <name val="Century Gothic"/>
      <family val="2"/>
    </font>
    <font>
      <b/>
      <sz val="12"/>
      <color rgb="FF00304D"/>
      <name val="Century Gothic"/>
      <family val="2"/>
    </font>
    <font>
      <b/>
      <sz val="12"/>
      <color theme="8" tint="-0.249977111117893"/>
      <name val="Century Gothic"/>
      <family val="2"/>
    </font>
    <font>
      <b/>
      <sz val="18"/>
      <color rgb="FF00304D"/>
      <name val="Century Gothic"/>
      <family val="2"/>
    </font>
    <font>
      <b/>
      <sz val="10"/>
      <color theme="0"/>
      <name val="Aptos Narrow"/>
      <family val="2"/>
      <charset val="1"/>
      <scheme val="minor"/>
    </font>
    <font>
      <b/>
      <sz val="10"/>
      <color rgb="FFFF0000"/>
      <name val="Aptos Narrow"/>
      <family val="2"/>
      <charset val="1"/>
      <scheme val="minor"/>
    </font>
    <font>
      <b/>
      <sz val="12"/>
      <color theme="0"/>
      <name val="Century Gothic"/>
      <family val="2"/>
    </font>
    <font>
      <b/>
      <sz val="18"/>
      <color theme="0"/>
      <name val="Century Gothic"/>
      <family val="2"/>
    </font>
    <font>
      <sz val="10"/>
      <color rgb="FFFF0000"/>
      <name val="Arial"/>
      <family val="2"/>
    </font>
    <font>
      <b/>
      <sz val="10"/>
      <color theme="0"/>
      <name val="Arial"/>
      <family val="2"/>
    </font>
    <font>
      <sz val="20"/>
      <color rgb="FF00304D"/>
      <name val="Century Gothic"/>
      <family val="2"/>
    </font>
    <font>
      <sz val="8"/>
      <color theme="1"/>
      <name val="Century Gothic"/>
      <family val="2"/>
    </font>
    <font>
      <sz val="14"/>
      <color rgb="FF00304D"/>
      <name val="Century Gothic"/>
      <family val="2"/>
    </font>
    <font>
      <b/>
      <sz val="14"/>
      <color rgb="FF00304D"/>
      <name val="Century Gothic"/>
      <family val="2"/>
    </font>
    <font>
      <sz val="16"/>
      <color theme="1"/>
      <name val="Century Gothic"/>
      <family val="2"/>
    </font>
    <font>
      <b/>
      <sz val="16"/>
      <color theme="0" tint="-0.499984740745262"/>
      <name val="Century Gothic"/>
      <family val="2"/>
    </font>
    <font>
      <b/>
      <sz val="18"/>
      <color theme="1"/>
      <name val="Century Gothic"/>
      <family val="2"/>
    </font>
    <font>
      <sz val="18"/>
      <color theme="1"/>
      <name val="Century Gothic"/>
      <family val="2"/>
    </font>
    <font>
      <sz val="18"/>
      <color rgb="FF000000"/>
      <name val="Century Gothic"/>
      <family val="2"/>
    </font>
    <font>
      <b/>
      <sz val="14"/>
      <color theme="1"/>
      <name val="Century Gothic"/>
      <family val="2"/>
    </font>
    <font>
      <b/>
      <sz val="20"/>
      <color theme="1"/>
      <name val="Century Gothic"/>
      <family val="2"/>
    </font>
    <font>
      <sz val="16"/>
      <color theme="0"/>
      <name val="Century Gothic"/>
      <family val="2"/>
    </font>
    <font>
      <sz val="11"/>
      <color theme="0"/>
      <name val="Century Gothic"/>
      <family val="2"/>
    </font>
    <font>
      <sz val="8"/>
      <color theme="0"/>
      <name val="Century Gothic"/>
      <family val="2"/>
    </font>
    <font>
      <b/>
      <sz val="22"/>
      <color theme="0"/>
      <name val="Century Gothic"/>
      <family val="2"/>
    </font>
    <font>
      <sz val="12"/>
      <color theme="1"/>
      <name val="Century Gothic"/>
      <family val="2"/>
    </font>
    <font>
      <b/>
      <u/>
      <sz val="16"/>
      <color theme="1"/>
      <name val="Century Gothic"/>
      <family val="2"/>
    </font>
    <font>
      <sz val="14"/>
      <color theme="1"/>
      <name val="Century Gothic"/>
      <family val="2"/>
    </font>
    <font>
      <b/>
      <sz val="12"/>
      <color theme="1"/>
      <name val="Century Gothic"/>
      <family val="2"/>
    </font>
    <font>
      <b/>
      <sz val="16"/>
      <color theme="1"/>
      <name val="Century Gothic"/>
      <family val="2"/>
    </font>
    <font>
      <b/>
      <sz val="10"/>
      <color theme="1"/>
      <name val="Century Gothic"/>
      <family val="2"/>
    </font>
    <font>
      <sz val="16"/>
      <color rgb="FF000000"/>
      <name val="Century Gothic"/>
      <family val="2"/>
    </font>
    <font>
      <sz val="9"/>
      <color theme="1"/>
      <name val="Century Gothic"/>
      <family val="2"/>
    </font>
    <font>
      <sz val="20"/>
      <color theme="1"/>
      <name val="Century Gothic"/>
      <family val="2"/>
    </font>
  </fonts>
  <fills count="18">
    <fill>
      <patternFill patternType="none"/>
    </fill>
    <fill>
      <patternFill patternType="gray125"/>
    </fill>
    <fill>
      <patternFill patternType="solid">
        <fgColor indexed="9"/>
        <bgColor indexed="64"/>
      </patternFill>
    </fill>
    <fill>
      <patternFill patternType="solid">
        <fgColor indexed="9"/>
        <bgColor indexed="9"/>
      </patternFill>
    </fill>
    <fill>
      <patternFill patternType="solid">
        <fgColor theme="0"/>
        <bgColor indexed="9"/>
      </patternFill>
    </fill>
    <fill>
      <patternFill patternType="solid">
        <fgColor theme="4" tint="-0.499984740745262"/>
        <bgColor indexed="9"/>
      </patternFill>
    </fill>
    <fill>
      <patternFill patternType="solid">
        <fgColor rgb="FF39A900"/>
        <bgColor indexed="9"/>
      </patternFill>
    </fill>
    <fill>
      <patternFill patternType="solid">
        <fgColor rgb="FF92D050"/>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39A900"/>
        <bgColor indexed="64"/>
      </patternFill>
    </fill>
    <fill>
      <patternFill patternType="solid">
        <fgColor theme="3" tint="0.89999084444715716"/>
        <bgColor indexed="64"/>
      </patternFill>
    </fill>
    <fill>
      <patternFill patternType="solid">
        <fgColor theme="0" tint="-0.249977111117893"/>
        <bgColor indexed="9"/>
      </patternFill>
    </fill>
    <fill>
      <patternFill patternType="solid">
        <fgColor theme="0" tint="-4.9989318521683403E-2"/>
        <bgColor indexed="64"/>
      </patternFill>
    </fill>
    <fill>
      <patternFill patternType="solid">
        <fgColor rgb="FF00314D"/>
        <bgColor indexed="64"/>
      </patternFill>
    </fill>
    <fill>
      <patternFill patternType="solid">
        <fgColor theme="7" tint="0.79998168889431442"/>
        <bgColor indexed="64"/>
      </patternFill>
    </fill>
    <fill>
      <patternFill patternType="solid">
        <fgColor theme="2"/>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hair">
        <color indexed="64"/>
      </left>
      <right style="thin">
        <color indexed="64"/>
      </right>
      <top style="hair">
        <color indexed="64"/>
      </top>
      <bottom style="hair">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theme="8" tint="-0.499984740745262"/>
      </top>
      <bottom/>
      <diagonal/>
    </border>
    <border>
      <left/>
      <right/>
      <top style="thin">
        <color theme="8" tint="-0.499984740745262"/>
      </top>
      <bottom style="thin">
        <color theme="8" tint="-0.499984740745262"/>
      </bottom>
      <diagonal/>
    </border>
    <border>
      <left style="thin">
        <color rgb="FF39A900"/>
      </left>
      <right style="thin">
        <color rgb="FF39A900"/>
      </right>
      <top style="thin">
        <color rgb="FF39A900"/>
      </top>
      <bottom style="thin">
        <color rgb="FF39A900"/>
      </bottom>
      <diagonal/>
    </border>
    <border>
      <left style="thin">
        <color rgb="FF39A900"/>
      </left>
      <right/>
      <top style="thin">
        <color rgb="FF39A900"/>
      </top>
      <bottom style="thin">
        <color rgb="FF39A900"/>
      </bottom>
      <diagonal/>
    </border>
    <border>
      <left/>
      <right style="thin">
        <color rgb="FF39A900"/>
      </right>
      <top style="thin">
        <color rgb="FF39A900"/>
      </top>
      <bottom style="thin">
        <color rgb="FF39A900"/>
      </bottom>
      <diagonal/>
    </border>
    <border>
      <left style="thin">
        <color rgb="FF39A900"/>
      </left>
      <right style="thin">
        <color rgb="FF39A900"/>
      </right>
      <top style="thin">
        <color rgb="FF39A900"/>
      </top>
      <bottom/>
      <diagonal/>
    </border>
    <border>
      <left/>
      <right/>
      <top style="thin">
        <color rgb="FF39A900"/>
      </top>
      <bottom style="thin">
        <color rgb="FF39A900"/>
      </bottom>
      <diagonal/>
    </border>
    <border>
      <left/>
      <right/>
      <top/>
      <bottom style="thin">
        <color rgb="FF39A900"/>
      </bottom>
      <diagonal/>
    </border>
    <border>
      <left style="thin">
        <color rgb="FF39A900"/>
      </left>
      <right style="thin">
        <color indexed="64"/>
      </right>
      <top style="thin">
        <color rgb="FF39A900"/>
      </top>
      <bottom style="thin">
        <color rgb="FF39A900"/>
      </bottom>
      <diagonal/>
    </border>
    <border>
      <left style="thin">
        <color indexed="64"/>
      </left>
      <right style="thin">
        <color indexed="64"/>
      </right>
      <top style="thin">
        <color rgb="FF39A900"/>
      </top>
      <bottom style="thin">
        <color rgb="FF39A900"/>
      </bottom>
      <diagonal/>
    </border>
    <border>
      <left style="thin">
        <color indexed="64"/>
      </left>
      <right style="thin">
        <color rgb="FF39A900"/>
      </right>
      <top style="thin">
        <color rgb="FF39A900"/>
      </top>
      <bottom style="thin">
        <color rgb="FF39A900"/>
      </bottom>
      <diagonal/>
    </border>
    <border>
      <left/>
      <right/>
      <top style="thin">
        <color rgb="FF39A900"/>
      </top>
      <bottom/>
      <diagonal/>
    </border>
    <border>
      <left/>
      <right style="thin">
        <color rgb="FF39A900"/>
      </right>
      <top style="thin">
        <color rgb="FF39A900"/>
      </top>
      <bottom/>
      <diagonal/>
    </border>
    <border>
      <left/>
      <right style="thin">
        <color rgb="FF39A900"/>
      </right>
      <top/>
      <bottom/>
      <diagonal/>
    </border>
    <border>
      <left style="thin">
        <color indexed="64"/>
      </left>
      <right/>
      <top style="thin">
        <color rgb="FF39A900"/>
      </top>
      <bottom style="thin">
        <color rgb="FF39A900"/>
      </bottom>
      <diagonal/>
    </border>
    <border>
      <left style="thin">
        <color rgb="FF39A900"/>
      </left>
      <right/>
      <top/>
      <bottom style="thin">
        <color rgb="FF39A900"/>
      </bottom>
      <diagonal/>
    </border>
    <border>
      <left/>
      <right style="thin">
        <color rgb="FF39A900"/>
      </right>
      <top/>
      <bottom style="thin">
        <color rgb="FF39A900"/>
      </bottom>
      <diagonal/>
    </border>
    <border>
      <left style="thin">
        <color rgb="FF39A900"/>
      </left>
      <right/>
      <top/>
      <bottom/>
      <diagonal/>
    </border>
    <border>
      <left style="thin">
        <color rgb="FF39A900"/>
      </left>
      <right style="thin">
        <color rgb="FF39A900"/>
      </right>
      <top/>
      <bottom style="thin">
        <color rgb="FF39A900"/>
      </bottom>
      <diagonal/>
    </border>
    <border>
      <left/>
      <right style="thin">
        <color indexed="64"/>
      </right>
      <top style="thin">
        <color rgb="FF39A900"/>
      </top>
      <bottom style="thin">
        <color rgb="FF39A900"/>
      </bottom>
      <diagonal/>
    </border>
    <border>
      <left style="thin">
        <color rgb="FF39A900"/>
      </left>
      <right/>
      <top style="thin">
        <color rgb="FF39A900"/>
      </top>
      <bottom/>
      <diagonal/>
    </border>
    <border>
      <left style="thin">
        <color rgb="FF39A900"/>
      </left>
      <right style="thin">
        <color indexed="64"/>
      </right>
      <top style="thin">
        <color rgb="FF39A900"/>
      </top>
      <bottom/>
      <diagonal/>
    </border>
    <border>
      <left style="thin">
        <color indexed="64"/>
      </left>
      <right style="thin">
        <color indexed="64"/>
      </right>
      <top style="thin">
        <color rgb="FF39A900"/>
      </top>
      <bottom/>
      <diagonal/>
    </border>
    <border>
      <left style="thin">
        <color indexed="64"/>
      </left>
      <right style="thin">
        <color rgb="FF39A900"/>
      </right>
      <top style="thin">
        <color rgb="FF39A900"/>
      </top>
      <bottom/>
      <diagonal/>
    </border>
  </borders>
  <cellStyleXfs count="5">
    <xf numFmtId="0" fontId="0" fillId="0" borderId="0"/>
    <xf numFmtId="0" fontId="35" fillId="0" borderId="0" applyNumberFormat="0" applyFill="0" applyBorder="0" applyAlignment="0" applyProtection="0"/>
    <xf numFmtId="171" fontId="11" fillId="0" borderId="0" applyFont="0" applyFill="0" applyBorder="0" applyAlignment="0" applyProtection="0"/>
    <xf numFmtId="42" fontId="33" fillId="0" borderId="0" applyFont="0" applyFill="0" applyBorder="0" applyAlignment="0" applyProtection="0"/>
    <xf numFmtId="9" fontId="33" fillId="0" borderId="0" applyFont="0" applyFill="0" applyBorder="0" applyAlignment="0" applyProtection="0"/>
  </cellStyleXfs>
  <cellXfs count="477">
    <xf numFmtId="0" fontId="0" fillId="0" borderId="0" xfId="0"/>
    <xf numFmtId="0" fontId="36" fillId="0" borderId="0" xfId="0" applyFont="1"/>
    <xf numFmtId="0" fontId="9" fillId="2" borderId="0" xfId="0" applyFont="1" applyFill="1" applyAlignment="1">
      <alignment vertical="center"/>
    </xf>
    <xf numFmtId="0" fontId="37" fillId="4" borderId="0" xfId="1" applyFont="1" applyFill="1" applyBorder="1" applyAlignment="1">
      <alignment horizontal="center" vertical="center"/>
    </xf>
    <xf numFmtId="0" fontId="10" fillId="4" borderId="1" xfId="1" applyFont="1" applyFill="1" applyBorder="1" applyAlignment="1">
      <alignment horizontal="center" vertical="center"/>
    </xf>
    <xf numFmtId="0" fontId="10" fillId="4" borderId="2" xfId="1" applyFont="1" applyFill="1" applyBorder="1" applyAlignment="1">
      <alignment horizontal="center" vertical="center"/>
    </xf>
    <xf numFmtId="0" fontId="38" fillId="5" borderId="8" xfId="1" applyFont="1" applyFill="1" applyBorder="1" applyAlignment="1">
      <alignment horizontal="center" vertical="center"/>
    </xf>
    <xf numFmtId="0" fontId="38" fillId="5" borderId="9" xfId="1" applyFont="1" applyFill="1" applyBorder="1" applyAlignment="1">
      <alignment horizontal="center" vertical="center"/>
    </xf>
    <xf numFmtId="171" fontId="39" fillId="0" borderId="0" xfId="2" applyFont="1" applyBorder="1" applyAlignment="1" applyProtection="1">
      <alignment horizontal="left" indent="1"/>
      <protection hidden="1"/>
    </xf>
    <xf numFmtId="173" fontId="39" fillId="0" borderId="0" xfId="2" applyNumberFormat="1" applyFont="1" applyBorder="1" applyAlignment="1" applyProtection="1">
      <alignment horizontal="left" indent="1"/>
      <protection hidden="1"/>
    </xf>
    <xf numFmtId="172" fontId="40" fillId="0" borderId="0" xfId="3" applyNumberFormat="1" applyFont="1" applyBorder="1" applyAlignment="1" applyProtection="1">
      <alignment horizontal="center"/>
      <protection hidden="1"/>
    </xf>
    <xf numFmtId="0" fontId="38" fillId="6" borderId="8" xfId="1" applyFont="1" applyFill="1" applyBorder="1" applyAlignment="1">
      <alignment horizontal="center" vertical="center"/>
    </xf>
    <xf numFmtId="171" fontId="41" fillId="0" borderId="0" xfId="2" applyFont="1" applyBorder="1" applyAlignment="1" applyProtection="1">
      <alignment horizontal="left"/>
      <protection hidden="1"/>
    </xf>
    <xf numFmtId="9" fontId="42" fillId="0" borderId="0" xfId="4" applyFont="1" applyBorder="1" applyAlignment="1" applyProtection="1">
      <alignment horizontal="center"/>
      <protection hidden="1"/>
    </xf>
    <xf numFmtId="0" fontId="43" fillId="7" borderId="1" xfId="0" applyFont="1" applyFill="1" applyBorder="1" applyAlignment="1">
      <alignment horizontal="center" vertical="center" wrapText="1"/>
    </xf>
    <xf numFmtId="0" fontId="44" fillId="7" borderId="1" xfId="0" applyFont="1" applyFill="1" applyBorder="1" applyAlignment="1">
      <alignment horizontal="center" vertical="center" wrapText="1"/>
    </xf>
    <xf numFmtId="0" fontId="0" fillId="0" borderId="2" xfId="0" applyBorder="1"/>
    <xf numFmtId="0" fontId="36" fillId="3" borderId="0" xfId="0" applyFont="1" applyFill="1"/>
    <xf numFmtId="0" fontId="45" fillId="4" borderId="0" xfId="0" applyFont="1" applyFill="1" applyAlignment="1">
      <alignment horizontal="center" vertical="center"/>
    </xf>
    <xf numFmtId="0" fontId="46" fillId="4" borderId="0" xfId="0" applyFont="1" applyFill="1"/>
    <xf numFmtId="0" fontId="13" fillId="8" borderId="0" xfId="0" applyFont="1" applyFill="1" applyAlignment="1">
      <alignment vertical="center"/>
    </xf>
    <xf numFmtId="0" fontId="14" fillId="9" borderId="1" xfId="0" applyFont="1" applyFill="1" applyBorder="1" applyAlignment="1">
      <alignment horizontal="center" vertical="center" wrapText="1"/>
    </xf>
    <xf numFmtId="0" fontId="11" fillId="8" borderId="10" xfId="0" applyFont="1" applyFill="1" applyBorder="1" applyAlignment="1">
      <alignment horizontal="left" vertical="center" wrapText="1"/>
    </xf>
    <xf numFmtId="0" fontId="11" fillId="0" borderId="10" xfId="0" applyFont="1" applyBorder="1" applyAlignment="1">
      <alignment horizontal="left" vertical="center" wrapText="1"/>
    </xf>
    <xf numFmtId="0" fontId="11" fillId="8" borderId="11" xfId="0" applyFont="1" applyFill="1" applyBorder="1" applyAlignment="1">
      <alignment horizontal="left" vertical="center" wrapText="1"/>
    </xf>
    <xf numFmtId="0" fontId="15" fillId="8" borderId="0" xfId="0" applyFont="1" applyFill="1" applyAlignment="1">
      <alignment horizontal="left" vertical="center" wrapText="1"/>
    </xf>
    <xf numFmtId="0" fontId="11" fillId="8" borderId="0" xfId="0" applyFont="1" applyFill="1" applyAlignment="1">
      <alignment horizontal="left" vertical="center" wrapText="1"/>
    </xf>
    <xf numFmtId="0" fontId="11" fillId="0" borderId="0" xfId="0" applyFont="1" applyAlignment="1">
      <alignment horizontal="left" vertical="center" wrapText="1"/>
    </xf>
    <xf numFmtId="0" fontId="47" fillId="8" borderId="0" xfId="0" applyFont="1" applyFill="1" applyAlignment="1">
      <alignment horizontal="left" vertical="center" wrapText="1"/>
    </xf>
    <xf numFmtId="0" fontId="11" fillId="10" borderId="0" xfId="0" applyFont="1" applyFill="1" applyAlignment="1">
      <alignment horizontal="left" vertical="center" wrapText="1"/>
    </xf>
    <xf numFmtId="0" fontId="15" fillId="8" borderId="0" xfId="0" applyFont="1" applyFill="1" applyAlignment="1">
      <alignment horizontal="center" vertical="center" wrapText="1"/>
    </xf>
    <xf numFmtId="0" fontId="48" fillId="11" borderId="10" xfId="0" applyFont="1" applyFill="1" applyBorder="1" applyAlignment="1">
      <alignment horizontal="center" vertical="center" wrapText="1"/>
    </xf>
    <xf numFmtId="0" fontId="34" fillId="0" borderId="0" xfId="0" applyFont="1" applyAlignment="1">
      <alignment horizontal="center"/>
    </xf>
    <xf numFmtId="0" fontId="49" fillId="4" borderId="0" xfId="0" applyFont="1" applyFill="1" applyAlignment="1">
      <alignment horizontal="left" vertical="center" wrapText="1"/>
    </xf>
    <xf numFmtId="0" fontId="49" fillId="4" borderId="0" xfId="0" applyFont="1" applyFill="1" applyAlignment="1">
      <alignment horizontal="left" vertical="top" wrapText="1"/>
    </xf>
    <xf numFmtId="0" fontId="37" fillId="8" borderId="0" xfId="0" applyFont="1" applyFill="1" applyAlignment="1">
      <alignment vertical="center"/>
    </xf>
    <xf numFmtId="9" fontId="14" fillId="9" borderId="1" xfId="0" applyNumberFormat="1" applyFont="1" applyFill="1" applyBorder="1" applyAlignment="1">
      <alignment horizontal="center" vertical="center" wrapText="1"/>
    </xf>
    <xf numFmtId="0" fontId="14" fillId="9" borderId="1" xfId="0" applyFont="1" applyFill="1" applyBorder="1" applyAlignment="1">
      <alignment vertical="center" wrapText="1"/>
    </xf>
    <xf numFmtId="0" fontId="50" fillId="0" borderId="0" xfId="0" applyFont="1"/>
    <xf numFmtId="0" fontId="11" fillId="0" borderId="11" xfId="0" applyFont="1" applyBorder="1" applyAlignment="1">
      <alignment horizontal="left" vertical="center" wrapText="1"/>
    </xf>
    <xf numFmtId="0" fontId="11" fillId="8" borderId="12" xfId="0" applyFont="1" applyFill="1" applyBorder="1" applyAlignment="1">
      <alignment horizontal="left" vertical="center" wrapText="1"/>
    </xf>
    <xf numFmtId="0" fontId="48" fillId="11" borderId="13" xfId="0" applyFont="1" applyFill="1" applyBorder="1" applyAlignment="1">
      <alignment horizontal="center" vertical="center" wrapText="1"/>
    </xf>
    <xf numFmtId="171" fontId="40" fillId="12" borderId="0" xfId="2" applyFont="1" applyFill="1" applyBorder="1" applyProtection="1">
      <protection hidden="1"/>
    </xf>
    <xf numFmtId="171" fontId="40" fillId="12" borderId="0" xfId="2" quotePrefix="1" applyFont="1" applyFill="1" applyBorder="1" applyAlignment="1" applyProtection="1">
      <alignment horizontal="left"/>
      <protection hidden="1"/>
    </xf>
    <xf numFmtId="9" fontId="12" fillId="13" borderId="1" xfId="1" applyNumberFormat="1" applyFont="1" applyFill="1" applyBorder="1" applyAlignment="1">
      <alignment horizontal="center" vertical="center"/>
    </xf>
    <xf numFmtId="0" fontId="22" fillId="13" borderId="1" xfId="1" applyFont="1" applyFill="1" applyBorder="1" applyAlignment="1">
      <alignment horizontal="center" vertical="center"/>
    </xf>
    <xf numFmtId="172" fontId="51" fillId="0" borderId="0" xfId="3" applyNumberFormat="1" applyFont="1" applyBorder="1" applyAlignment="1" applyProtection="1">
      <alignment horizontal="center"/>
      <protection hidden="1"/>
    </xf>
    <xf numFmtId="172" fontId="52" fillId="12" borderId="0" xfId="3" applyNumberFormat="1" applyFont="1" applyFill="1" applyBorder="1" applyAlignment="1" applyProtection="1">
      <alignment horizontal="center"/>
      <protection hidden="1"/>
    </xf>
    <xf numFmtId="171" fontId="51" fillId="0" borderId="0" xfId="2" applyFont="1" applyBorder="1" applyAlignment="1" applyProtection="1">
      <alignment horizontal="left" indent="1"/>
      <protection hidden="1"/>
    </xf>
    <xf numFmtId="171" fontId="52" fillId="12" borderId="0" xfId="2" applyFont="1" applyFill="1" applyBorder="1" applyProtection="1">
      <protection hidden="1"/>
    </xf>
    <xf numFmtId="171" fontId="52" fillId="12" borderId="0" xfId="2" quotePrefix="1" applyFont="1" applyFill="1" applyBorder="1" applyAlignment="1" applyProtection="1">
      <alignment horizontal="left"/>
      <protection hidden="1"/>
    </xf>
    <xf numFmtId="173" fontId="52" fillId="12" borderId="0" xfId="2" applyNumberFormat="1" applyFont="1" applyFill="1" applyBorder="1" applyAlignment="1" applyProtection="1">
      <alignment horizontal="center" wrapText="1"/>
      <protection hidden="1"/>
    </xf>
    <xf numFmtId="0" fontId="53" fillId="0" borderId="0" xfId="0" applyFont="1"/>
    <xf numFmtId="0" fontId="54" fillId="8" borderId="0" xfId="0" applyFont="1" applyFill="1" applyAlignment="1">
      <alignment vertical="center" wrapText="1"/>
    </xf>
    <xf numFmtId="0" fontId="53" fillId="0" borderId="0" xfId="0" applyFont="1" applyAlignment="1">
      <alignment horizontal="center"/>
    </xf>
    <xf numFmtId="0" fontId="53" fillId="0" borderId="0" xfId="0" applyFont="1" applyAlignment="1">
      <alignment horizontal="center" wrapText="1"/>
    </xf>
    <xf numFmtId="0" fontId="53" fillId="0" borderId="0" xfId="0" applyFont="1" applyAlignment="1">
      <alignment horizontal="left"/>
    </xf>
    <xf numFmtId="0" fontId="55" fillId="0" borderId="0" xfId="0" applyFont="1"/>
    <xf numFmtId="0" fontId="56" fillId="0" borderId="0" xfId="0" applyFont="1"/>
    <xf numFmtId="0" fontId="37" fillId="8" borderId="0" xfId="0" applyFont="1" applyFill="1" applyAlignment="1">
      <alignment horizontal="center" vertical="center"/>
    </xf>
    <xf numFmtId="0" fontId="53" fillId="8" borderId="0" xfId="0" applyFont="1" applyFill="1"/>
    <xf numFmtId="0" fontId="53" fillId="0" borderId="0" xfId="0" applyFont="1" applyAlignment="1">
      <alignment horizontal="left" wrapText="1"/>
    </xf>
    <xf numFmtId="0" fontId="53" fillId="0" borderId="0" xfId="0" applyFont="1" applyAlignment="1">
      <alignment wrapText="1"/>
    </xf>
    <xf numFmtId="0" fontId="53" fillId="0" borderId="0" xfId="0" applyFont="1" applyAlignment="1">
      <alignment vertical="center"/>
    </xf>
    <xf numFmtId="0" fontId="57" fillId="0" borderId="0" xfId="0" applyFont="1" applyAlignment="1">
      <alignment horizontal="left" vertical="center"/>
    </xf>
    <xf numFmtId="0" fontId="53" fillId="8" borderId="0" xfId="0" applyFont="1" applyFill="1" applyAlignment="1">
      <alignment horizontal="center"/>
    </xf>
    <xf numFmtId="170" fontId="53" fillId="8" borderId="0" xfId="0" applyNumberFormat="1" applyFont="1" applyFill="1" applyAlignment="1">
      <alignment horizontal="center"/>
    </xf>
    <xf numFmtId="0" fontId="58" fillId="0" borderId="0" xfId="0" applyFont="1" applyAlignment="1">
      <alignment wrapText="1"/>
    </xf>
    <xf numFmtId="170" fontId="53" fillId="0" borderId="0" xfId="0" applyNumberFormat="1" applyFont="1" applyAlignment="1">
      <alignment horizontal="center"/>
    </xf>
    <xf numFmtId="170" fontId="59" fillId="0" borderId="0" xfId="0" applyNumberFormat="1" applyFont="1" applyAlignment="1">
      <alignment horizontal="center"/>
    </xf>
    <xf numFmtId="0" fontId="56" fillId="0" borderId="14" xfId="0" applyFont="1" applyBorder="1"/>
    <xf numFmtId="0" fontId="56" fillId="0" borderId="12" xfId="0" applyFont="1" applyBorder="1"/>
    <xf numFmtId="0" fontId="56" fillId="0" borderId="0" xfId="0" applyFont="1" applyAlignment="1">
      <alignment horizontal="left" wrapText="1"/>
    </xf>
    <xf numFmtId="0" fontId="10" fillId="4" borderId="0" xfId="1" applyFont="1" applyFill="1" applyBorder="1" applyAlignment="1">
      <alignment horizontal="center" vertical="center"/>
    </xf>
    <xf numFmtId="170" fontId="12" fillId="4" borderId="1" xfId="1" applyNumberFormat="1" applyFont="1" applyFill="1" applyBorder="1" applyAlignment="1" applyProtection="1">
      <alignment horizontal="center" vertical="center"/>
      <protection hidden="1"/>
    </xf>
    <xf numFmtId="0" fontId="6" fillId="4" borderId="10" xfId="1" applyFont="1" applyFill="1" applyBorder="1" applyAlignment="1" applyProtection="1">
      <alignment horizontal="center" vertical="center"/>
      <protection hidden="1"/>
    </xf>
    <xf numFmtId="0" fontId="23" fillId="2" borderId="0" xfId="0" applyFont="1" applyFill="1" applyAlignment="1" applyProtection="1">
      <alignment vertical="center"/>
      <protection hidden="1"/>
    </xf>
    <xf numFmtId="0" fontId="22" fillId="4" borderId="0" xfId="1" applyFont="1" applyFill="1" applyBorder="1" applyAlignment="1">
      <alignment horizontal="center" vertical="center"/>
    </xf>
    <xf numFmtId="9" fontId="12" fillId="4" borderId="0" xfId="1" applyNumberFormat="1" applyFont="1" applyFill="1" applyBorder="1" applyAlignment="1">
      <alignment horizontal="center" vertical="center"/>
    </xf>
    <xf numFmtId="0" fontId="60" fillId="8" borderId="0" xfId="0" applyFont="1" applyFill="1"/>
    <xf numFmtId="0" fontId="56" fillId="0" borderId="0" xfId="0" applyFont="1" applyAlignment="1">
      <alignment wrapText="1"/>
    </xf>
    <xf numFmtId="0" fontId="60" fillId="0" borderId="0" xfId="0" applyFont="1"/>
    <xf numFmtId="170" fontId="53" fillId="0" borderId="0" xfId="0" applyNumberFormat="1" applyFont="1"/>
    <xf numFmtId="0" fontId="14" fillId="8" borderId="1" xfId="0" applyFont="1" applyFill="1" applyBorder="1" applyAlignment="1">
      <alignment horizontal="center" vertical="center" wrapText="1"/>
    </xf>
    <xf numFmtId="0" fontId="19" fillId="8" borderId="1" xfId="0" applyFont="1" applyFill="1" applyBorder="1" applyAlignment="1">
      <alignment horizontal="center" vertical="center" wrapText="1"/>
    </xf>
    <xf numFmtId="0" fontId="18" fillId="8" borderId="1" xfId="0" applyFont="1" applyFill="1" applyBorder="1" applyAlignment="1">
      <alignment horizontal="center" vertical="center" wrapText="1"/>
    </xf>
    <xf numFmtId="170" fontId="14" fillId="9" borderId="1" xfId="0" applyNumberFormat="1" applyFont="1" applyFill="1" applyBorder="1" applyAlignment="1">
      <alignment vertical="center" wrapText="1"/>
    </xf>
    <xf numFmtId="0" fontId="1" fillId="9" borderId="1" xfId="0" applyFont="1" applyFill="1" applyBorder="1" applyAlignment="1">
      <alignment horizontal="center" vertical="center" wrapText="1"/>
    </xf>
    <xf numFmtId="3" fontId="14" fillId="9" borderId="1" xfId="0" applyNumberFormat="1" applyFont="1" applyFill="1" applyBorder="1" applyAlignment="1">
      <alignment horizontal="center" vertical="center" wrapText="1"/>
    </xf>
    <xf numFmtId="9" fontId="61" fillId="8" borderId="0" xfId="4" applyFont="1" applyFill="1" applyAlignment="1">
      <alignment vertical="center"/>
    </xf>
    <xf numFmtId="0" fontId="26" fillId="8" borderId="0" xfId="0" applyFont="1" applyFill="1" applyAlignment="1">
      <alignment vertical="center"/>
    </xf>
    <xf numFmtId="0" fontId="61" fillId="8" borderId="0" xfId="0" applyFont="1" applyFill="1" applyAlignment="1">
      <alignment vertical="center"/>
    </xf>
    <xf numFmtId="0" fontId="61" fillId="0" borderId="0" xfId="0" applyFont="1" applyAlignment="1">
      <alignment vertical="center"/>
    </xf>
    <xf numFmtId="0" fontId="61" fillId="0" borderId="0" xfId="0" applyFont="1"/>
    <xf numFmtId="0" fontId="26" fillId="3" borderId="0" xfId="0" applyFont="1" applyFill="1"/>
    <xf numFmtId="0" fontId="6" fillId="8" borderId="0" xfId="0" applyFont="1" applyFill="1" applyAlignment="1">
      <alignment vertical="center"/>
    </xf>
    <xf numFmtId="0" fontId="61" fillId="3" borderId="0" xfId="0" applyFont="1" applyFill="1"/>
    <xf numFmtId="0" fontId="61" fillId="8" borderId="0" xfId="0" applyFont="1" applyFill="1"/>
    <xf numFmtId="0" fontId="45" fillId="4" borderId="0" xfId="1" applyFont="1" applyFill="1" applyBorder="1" applyAlignment="1">
      <alignment horizontal="center" vertical="center"/>
    </xf>
    <xf numFmtId="0" fontId="62" fillId="0" borderId="0" xfId="0" applyFont="1"/>
    <xf numFmtId="0" fontId="60" fillId="0" borderId="0" xfId="0" applyFont="1" applyAlignment="1">
      <alignment horizontal="left"/>
    </xf>
    <xf numFmtId="0" fontId="8" fillId="0" borderId="0" xfId="0" applyFont="1"/>
    <xf numFmtId="0" fontId="6" fillId="4" borderId="0" xfId="1" applyFont="1" applyFill="1" applyBorder="1" applyAlignment="1">
      <alignment horizontal="center" vertical="center"/>
    </xf>
    <xf numFmtId="0" fontId="53" fillId="0" borderId="0" xfId="0" applyFont="1" applyAlignment="1"/>
    <xf numFmtId="170" fontId="36" fillId="0" borderId="0" xfId="0" applyNumberFormat="1" applyFont="1"/>
    <xf numFmtId="0" fontId="11" fillId="8" borderId="0" xfId="0" applyFont="1" applyFill="1" applyBorder="1" applyAlignment="1">
      <alignment horizontal="left" vertical="center" wrapText="1"/>
    </xf>
    <xf numFmtId="0" fontId="27" fillId="0" borderId="3" xfId="0" applyFont="1" applyBorder="1" applyAlignment="1">
      <alignment horizontal="left" vertical="center" wrapText="1"/>
    </xf>
    <xf numFmtId="0" fontId="27" fillId="0" borderId="0" xfId="0" applyFont="1" applyBorder="1" applyAlignment="1">
      <alignment horizontal="left" vertical="center" wrapText="1"/>
    </xf>
    <xf numFmtId="0" fontId="56" fillId="0" borderId="0" xfId="0" applyFont="1" applyAlignment="1">
      <alignment horizontal="left" vertical="top" wrapText="1"/>
    </xf>
    <xf numFmtId="0" fontId="53" fillId="0" borderId="10" xfId="0" applyFont="1" applyBorder="1" applyAlignment="1">
      <alignment horizontal="center" vertical="center"/>
    </xf>
    <xf numFmtId="0" fontId="8" fillId="0" borderId="10" xfId="0" applyFont="1" applyBorder="1" applyAlignment="1">
      <alignment horizontal="center" vertical="center" wrapText="1"/>
    </xf>
    <xf numFmtId="0" fontId="8" fillId="0" borderId="10" xfId="0" applyFont="1" applyBorder="1" applyAlignment="1">
      <alignment horizontal="center" vertical="center"/>
    </xf>
    <xf numFmtId="0" fontId="66" fillId="0" borderId="10" xfId="0" applyFont="1" applyBorder="1" applyAlignment="1">
      <alignment horizontal="center" vertical="center"/>
    </xf>
    <xf numFmtId="170" fontId="20" fillId="9" borderId="14" xfId="0" applyNumberFormat="1" applyFont="1" applyFill="1" applyBorder="1" applyAlignment="1">
      <alignment horizontal="center" vertical="center"/>
    </xf>
    <xf numFmtId="170" fontId="20" fillId="9" borderId="12" xfId="0" applyNumberFormat="1" applyFont="1" applyFill="1" applyBorder="1" applyAlignment="1">
      <alignment horizontal="center" vertical="center"/>
    </xf>
    <xf numFmtId="0" fontId="55" fillId="0" borderId="16" xfId="0" applyFont="1" applyBorder="1" applyAlignment="1">
      <alignment horizontal="center" wrapText="1"/>
    </xf>
    <xf numFmtId="0" fontId="55" fillId="0" borderId="17" xfId="0" applyFont="1" applyBorder="1" applyAlignment="1">
      <alignment horizontal="center" wrapText="1"/>
    </xf>
    <xf numFmtId="0" fontId="55" fillId="0" borderId="22" xfId="0" applyFont="1" applyBorder="1" applyAlignment="1">
      <alignment horizontal="center" wrapText="1"/>
    </xf>
    <xf numFmtId="10" fontId="53" fillId="17" borderId="10" xfId="0" applyNumberFormat="1" applyFont="1" applyFill="1" applyBorder="1" applyAlignment="1">
      <alignment horizontal="center"/>
    </xf>
    <xf numFmtId="0" fontId="72" fillId="0" borderId="11" xfId="0" applyFont="1" applyBorder="1" applyAlignment="1">
      <alignment horizontal="center"/>
    </xf>
    <xf numFmtId="0" fontId="72" fillId="0" borderId="14" xfId="0" applyFont="1" applyBorder="1" applyAlignment="1">
      <alignment horizontal="center"/>
    </xf>
    <xf numFmtId="0" fontId="72" fillId="0" borderId="27" xfId="0" applyFont="1" applyBorder="1" applyAlignment="1">
      <alignment horizontal="center"/>
    </xf>
    <xf numFmtId="170" fontId="55" fillId="8" borderId="22" xfId="0" applyNumberFormat="1" applyFont="1" applyFill="1" applyBorder="1" applyAlignment="1" applyProtection="1">
      <alignment horizontal="center"/>
      <protection hidden="1"/>
    </xf>
    <xf numFmtId="170" fontId="55" fillId="8" borderId="14" xfId="0" applyNumberFormat="1" applyFont="1" applyFill="1" applyBorder="1" applyAlignment="1" applyProtection="1">
      <alignment horizontal="center"/>
      <protection hidden="1"/>
    </xf>
    <xf numFmtId="170" fontId="55" fillId="8" borderId="12" xfId="0" applyNumberFormat="1" applyFont="1" applyFill="1" applyBorder="1" applyAlignment="1" applyProtection="1">
      <alignment horizontal="center"/>
      <protection hidden="1"/>
    </xf>
    <xf numFmtId="0" fontId="66" fillId="9" borderId="14" xfId="0" applyFont="1" applyFill="1" applyBorder="1" applyAlignment="1">
      <alignment horizontal="center" vertical="center" wrapText="1"/>
    </xf>
    <xf numFmtId="0" fontId="66" fillId="9" borderId="12" xfId="0" applyFont="1" applyFill="1" applyBorder="1" applyAlignment="1">
      <alignment horizontal="center" vertical="center" wrapText="1"/>
    </xf>
    <xf numFmtId="170" fontId="53" fillId="8" borderId="11" xfId="0" applyNumberFormat="1" applyFont="1" applyFill="1" applyBorder="1" applyAlignment="1" applyProtection="1">
      <alignment horizontal="center" vertical="center" wrapText="1"/>
      <protection hidden="1"/>
    </xf>
    <xf numFmtId="170" fontId="53" fillId="8" borderId="14" xfId="0" applyNumberFormat="1" applyFont="1" applyFill="1" applyBorder="1" applyAlignment="1" applyProtection="1">
      <alignment horizontal="center" vertical="center" wrapText="1"/>
      <protection hidden="1"/>
    </xf>
    <xf numFmtId="170" fontId="53" fillId="8" borderId="12" xfId="0" applyNumberFormat="1" applyFont="1" applyFill="1" applyBorder="1" applyAlignment="1" applyProtection="1">
      <alignment horizontal="center" vertical="center" wrapText="1"/>
      <protection hidden="1"/>
    </xf>
    <xf numFmtId="0" fontId="36" fillId="0" borderId="11" xfId="0" applyFont="1" applyBorder="1" applyAlignment="1">
      <alignment horizontal="center" vertical="center" wrapText="1"/>
    </xf>
    <xf numFmtId="0" fontId="36" fillId="0" borderId="14" xfId="0" applyFont="1" applyBorder="1" applyAlignment="1">
      <alignment horizontal="center" vertical="center" wrapText="1"/>
    </xf>
    <xf numFmtId="0" fontId="36" fillId="0" borderId="12" xfId="0" applyFont="1" applyBorder="1" applyAlignment="1">
      <alignment horizontal="center" vertical="center" wrapText="1"/>
    </xf>
    <xf numFmtId="0" fontId="53" fillId="0" borderId="11" xfId="0" applyFont="1" applyBorder="1" applyAlignment="1">
      <alignment horizontal="center" vertical="center" wrapText="1"/>
    </xf>
    <xf numFmtId="0" fontId="53" fillId="0" borderId="14" xfId="0" applyFont="1" applyBorder="1" applyAlignment="1">
      <alignment horizontal="center" vertical="center" wrapText="1"/>
    </xf>
    <xf numFmtId="170" fontId="53" fillId="8" borderId="10" xfId="0" applyNumberFormat="1" applyFont="1" applyFill="1" applyBorder="1" applyAlignment="1" applyProtection="1">
      <alignment horizontal="center"/>
      <protection hidden="1"/>
    </xf>
    <xf numFmtId="0" fontId="53" fillId="9" borderId="10" xfId="0" applyFont="1" applyFill="1" applyBorder="1" applyAlignment="1">
      <alignment horizontal="left"/>
    </xf>
    <xf numFmtId="170" fontId="53" fillId="9" borderId="10" xfId="0" applyNumberFormat="1" applyFont="1" applyFill="1" applyBorder="1" applyAlignment="1">
      <alignment horizontal="center"/>
    </xf>
    <xf numFmtId="0" fontId="53" fillId="9" borderId="10" xfId="0" applyFont="1" applyFill="1" applyBorder="1" applyAlignment="1">
      <alignment horizontal="center"/>
    </xf>
    <xf numFmtId="0" fontId="53" fillId="9" borderId="11" xfId="0" applyFont="1" applyFill="1" applyBorder="1" applyAlignment="1">
      <alignment horizontal="center" vertical="center" wrapText="1"/>
    </xf>
    <xf numFmtId="0" fontId="53" fillId="9" borderId="14" xfId="0" applyFont="1" applyFill="1" applyBorder="1" applyAlignment="1">
      <alignment horizontal="center" vertical="center" wrapText="1"/>
    </xf>
    <xf numFmtId="0" fontId="53" fillId="9" borderId="12" xfId="0" applyFont="1" applyFill="1" applyBorder="1" applyAlignment="1">
      <alignment horizontal="center" vertical="center" wrapText="1"/>
    </xf>
    <xf numFmtId="170" fontId="53" fillId="9" borderId="11" xfId="0" applyNumberFormat="1" applyFont="1" applyFill="1" applyBorder="1" applyAlignment="1">
      <alignment horizontal="center" vertical="center" wrapText="1"/>
    </xf>
    <xf numFmtId="170" fontId="53" fillId="9" borderId="14" xfId="0" applyNumberFormat="1" applyFont="1" applyFill="1" applyBorder="1" applyAlignment="1">
      <alignment horizontal="center" vertical="center" wrapText="1"/>
    </xf>
    <xf numFmtId="0" fontId="66" fillId="0" borderId="11" xfId="0" applyFont="1" applyBorder="1" applyAlignment="1">
      <alignment horizontal="center" vertical="center" wrapText="1"/>
    </xf>
    <xf numFmtId="0" fontId="66" fillId="0" borderId="14" xfId="0" applyFont="1" applyBorder="1" applyAlignment="1">
      <alignment horizontal="center" vertical="center" wrapText="1"/>
    </xf>
    <xf numFmtId="0" fontId="66" fillId="0" borderId="12" xfId="0" applyFont="1" applyBorder="1" applyAlignment="1">
      <alignment horizontal="center" vertical="center" wrapText="1"/>
    </xf>
    <xf numFmtId="0" fontId="71" fillId="0" borderId="14" xfId="0" applyFont="1" applyBorder="1" applyAlignment="1">
      <alignment horizontal="center" wrapText="1"/>
    </xf>
    <xf numFmtId="0" fontId="71" fillId="0" borderId="12" xfId="0" applyFont="1" applyBorder="1" applyAlignment="1">
      <alignment horizontal="center" wrapText="1"/>
    </xf>
    <xf numFmtId="0" fontId="53" fillId="9" borderId="11" xfId="0" applyFont="1" applyFill="1" applyBorder="1" applyAlignment="1">
      <alignment horizontal="left"/>
    </xf>
    <xf numFmtId="0" fontId="53" fillId="9" borderId="14" xfId="0" applyFont="1" applyFill="1" applyBorder="1" applyAlignment="1">
      <alignment horizontal="left"/>
    </xf>
    <xf numFmtId="0" fontId="53" fillId="9" borderId="12" xfId="0" applyFont="1" applyFill="1" applyBorder="1" applyAlignment="1">
      <alignment horizontal="left"/>
    </xf>
    <xf numFmtId="0" fontId="66" fillId="9" borderId="11" xfId="0" applyFont="1" applyFill="1" applyBorder="1" applyAlignment="1">
      <alignment horizontal="center"/>
    </xf>
    <xf numFmtId="0" fontId="66" fillId="9" borderId="14" xfId="0" applyFont="1" applyFill="1" applyBorder="1" applyAlignment="1">
      <alignment horizontal="center"/>
    </xf>
    <xf numFmtId="0" fontId="66" fillId="9" borderId="12" xfId="0" applyFont="1" applyFill="1" applyBorder="1" applyAlignment="1">
      <alignment horizontal="center"/>
    </xf>
    <xf numFmtId="170" fontId="53" fillId="0" borderId="23" xfId="0" applyNumberFormat="1" applyFont="1" applyBorder="1" applyAlignment="1" applyProtection="1">
      <alignment horizontal="center"/>
      <protection hidden="1"/>
    </xf>
    <xf numFmtId="170" fontId="53" fillId="0" borderId="15" xfId="0" applyNumberFormat="1" applyFont="1" applyBorder="1" applyAlignment="1" applyProtection="1">
      <alignment horizontal="center"/>
      <protection hidden="1"/>
    </xf>
    <xf numFmtId="170" fontId="53" fillId="0" borderId="24" xfId="0" applyNumberFormat="1" applyFont="1" applyBorder="1" applyAlignment="1" applyProtection="1">
      <alignment horizontal="center"/>
      <protection hidden="1"/>
    </xf>
    <xf numFmtId="0" fontId="53" fillId="9" borderId="23" xfId="0" applyFont="1" applyFill="1" applyBorder="1" applyAlignment="1">
      <alignment horizontal="left"/>
    </xf>
    <xf numFmtId="0" fontId="53" fillId="9" borderId="15" xfId="0" applyFont="1" applyFill="1" applyBorder="1" applyAlignment="1">
      <alignment horizontal="left"/>
    </xf>
    <xf numFmtId="0" fontId="53" fillId="9" borderId="24" xfId="0" applyFont="1" applyFill="1" applyBorder="1" applyAlignment="1">
      <alignment horizontal="left"/>
    </xf>
    <xf numFmtId="170" fontId="53" fillId="9" borderId="26" xfId="0" applyNumberFormat="1" applyFont="1" applyFill="1" applyBorder="1" applyAlignment="1">
      <alignment horizontal="center"/>
    </xf>
    <xf numFmtId="0" fontId="53" fillId="9" borderId="28" xfId="0" applyFont="1" applyFill="1" applyBorder="1" applyAlignment="1">
      <alignment horizontal="left"/>
    </xf>
    <xf numFmtId="0" fontId="53" fillId="9" borderId="19" xfId="0" applyFont="1" applyFill="1" applyBorder="1" applyAlignment="1">
      <alignment horizontal="left"/>
    </xf>
    <xf numFmtId="0" fontId="53" fillId="9" borderId="20" xfId="0" applyFont="1" applyFill="1" applyBorder="1" applyAlignment="1">
      <alignment horizontal="left"/>
    </xf>
    <xf numFmtId="0" fontId="66" fillId="9" borderId="11" xfId="0" applyFont="1" applyFill="1" applyBorder="1" applyAlignment="1">
      <alignment horizontal="center" vertical="center" wrapText="1"/>
    </xf>
    <xf numFmtId="0" fontId="64" fillId="9" borderId="11" xfId="0" applyFont="1" applyFill="1" applyBorder="1" applyAlignment="1">
      <alignment horizontal="left" vertical="center" wrapText="1"/>
    </xf>
    <xf numFmtId="0" fontId="64" fillId="9" borderId="14" xfId="0" applyFont="1" applyFill="1" applyBorder="1" applyAlignment="1">
      <alignment horizontal="left" vertical="center" wrapText="1"/>
    </xf>
    <xf numFmtId="0" fontId="64" fillId="9" borderId="12" xfId="0" applyFont="1" applyFill="1" applyBorder="1" applyAlignment="1">
      <alignment horizontal="left" vertical="center" wrapText="1"/>
    </xf>
    <xf numFmtId="0" fontId="37" fillId="15" borderId="0" xfId="0" applyFont="1" applyFill="1" applyAlignment="1">
      <alignment horizontal="center" vertical="center"/>
    </xf>
    <xf numFmtId="170" fontId="20" fillId="9" borderId="19" xfId="0" applyNumberFormat="1" applyFont="1" applyFill="1" applyBorder="1" applyAlignment="1">
      <alignment horizontal="center" vertical="center"/>
    </xf>
    <xf numFmtId="170" fontId="20" fillId="9" borderId="20" xfId="0" applyNumberFormat="1" applyFont="1" applyFill="1" applyBorder="1" applyAlignment="1">
      <alignment horizontal="center" vertical="center"/>
    </xf>
    <xf numFmtId="0" fontId="7" fillId="9" borderId="16" xfId="0" applyFont="1" applyFill="1" applyBorder="1" applyAlignment="1">
      <alignment horizontal="center" vertical="center"/>
    </xf>
    <xf numFmtId="0" fontId="7" fillId="9" borderId="17" xfId="0" applyFont="1" applyFill="1" applyBorder="1" applyAlignment="1">
      <alignment horizontal="center" vertical="center"/>
    </xf>
    <xf numFmtId="0" fontId="7" fillId="9" borderId="18" xfId="0" applyFont="1" applyFill="1" applyBorder="1" applyAlignment="1">
      <alignment horizontal="center" vertical="center"/>
    </xf>
    <xf numFmtId="0" fontId="53" fillId="0" borderId="10" xfId="0" applyFont="1" applyBorder="1" applyAlignment="1">
      <alignment horizontal="left"/>
    </xf>
    <xf numFmtId="170" fontId="55" fillId="0" borderId="16" xfId="0" applyNumberFormat="1" applyFont="1" applyBorder="1" applyAlignment="1" applyProtection="1">
      <alignment horizontal="center"/>
      <protection hidden="1"/>
    </xf>
    <xf numFmtId="0" fontId="55" fillId="0" borderId="17" xfId="0" applyFont="1" applyBorder="1" applyAlignment="1" applyProtection="1">
      <alignment horizontal="center"/>
      <protection hidden="1"/>
    </xf>
    <xf numFmtId="0" fontId="55" fillId="0" borderId="22"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8" fillId="0" borderId="14" xfId="0" applyFont="1" applyBorder="1" applyAlignment="1" applyProtection="1">
      <alignment horizontal="center"/>
      <protection hidden="1"/>
    </xf>
    <xf numFmtId="0" fontId="68" fillId="0" borderId="12" xfId="0" applyFont="1" applyBorder="1" applyAlignment="1" applyProtection="1">
      <alignment horizontal="center"/>
      <protection hidden="1"/>
    </xf>
    <xf numFmtId="0" fontId="7" fillId="9" borderId="29" xfId="0" applyFont="1" applyFill="1" applyBorder="1" applyAlignment="1">
      <alignment horizontal="center" vertical="center"/>
    </xf>
    <xf numFmtId="0" fontId="7" fillId="9" borderId="30" xfId="0" applyFont="1" applyFill="1" applyBorder="1" applyAlignment="1">
      <alignment horizontal="center" vertical="center"/>
    </xf>
    <xf numFmtId="0" fontId="7" fillId="9" borderId="31" xfId="0" applyFont="1" applyFill="1" applyBorder="1" applyAlignment="1">
      <alignment horizontal="center" vertical="center"/>
    </xf>
    <xf numFmtId="170" fontId="53" fillId="0" borderId="10" xfId="0" applyNumberFormat="1" applyFont="1" applyBorder="1" applyAlignment="1" applyProtection="1">
      <alignment horizontal="center"/>
      <protection hidden="1"/>
    </xf>
    <xf numFmtId="0" fontId="53" fillId="0" borderId="10" xfId="0" applyFont="1" applyBorder="1" applyAlignment="1" applyProtection="1">
      <alignment horizontal="center"/>
      <protection hidden="1"/>
    </xf>
    <xf numFmtId="0" fontId="66" fillId="9" borderId="10" xfId="0" applyFont="1" applyFill="1" applyBorder="1" applyAlignment="1">
      <alignment horizontal="center"/>
    </xf>
    <xf numFmtId="0" fontId="56" fillId="0" borderId="10" xfId="0" applyFont="1" applyBorder="1" applyAlignment="1">
      <alignment horizontal="center"/>
    </xf>
    <xf numFmtId="170" fontId="55" fillId="8" borderId="10" xfId="0" applyNumberFormat="1" applyFont="1" applyFill="1" applyBorder="1" applyAlignment="1" applyProtection="1">
      <alignment horizontal="center"/>
      <protection hidden="1"/>
    </xf>
    <xf numFmtId="170" fontId="58" fillId="0" borderId="10" xfId="0" applyNumberFormat="1" applyFont="1" applyBorder="1" applyAlignment="1" applyProtection="1">
      <alignment horizontal="center"/>
      <protection hidden="1"/>
    </xf>
    <xf numFmtId="0" fontId="58" fillId="0" borderId="10" xfId="0" applyFont="1" applyBorder="1" applyAlignment="1" applyProtection="1">
      <alignment horizontal="center"/>
      <protection hidden="1"/>
    </xf>
    <xf numFmtId="0" fontId="68" fillId="0" borderId="16" xfId="0" applyFont="1" applyBorder="1" applyAlignment="1">
      <alignment horizontal="center"/>
    </xf>
    <xf numFmtId="0" fontId="68" fillId="0" borderId="17" xfId="0" applyFont="1" applyBorder="1" applyAlignment="1">
      <alignment horizontal="center"/>
    </xf>
    <xf numFmtId="0" fontId="68" fillId="0" borderId="18" xfId="0" applyFont="1" applyBorder="1" applyAlignment="1">
      <alignment horizontal="center"/>
    </xf>
    <xf numFmtId="0" fontId="53" fillId="0" borderId="11" xfId="0" applyFont="1" applyBorder="1" applyAlignment="1">
      <alignment horizontal="center" vertical="center"/>
    </xf>
    <xf numFmtId="0" fontId="53" fillId="0" borderId="14" xfId="0" applyFont="1" applyBorder="1" applyAlignment="1">
      <alignment horizontal="center" vertical="center"/>
    </xf>
    <xf numFmtId="0" fontId="53" fillId="0" borderId="12" xfId="0" applyFont="1" applyBorder="1" applyAlignment="1">
      <alignment horizontal="center" vertical="center"/>
    </xf>
    <xf numFmtId="0" fontId="63" fillId="15" borderId="0" xfId="0" applyFont="1" applyFill="1" applyAlignment="1">
      <alignment horizontal="center" vertical="center"/>
    </xf>
    <xf numFmtId="0" fontId="63" fillId="11" borderId="0" xfId="0" applyFont="1" applyFill="1" applyAlignment="1">
      <alignment horizontal="center" vertical="center"/>
    </xf>
    <xf numFmtId="9" fontId="68" fillId="0" borderId="10" xfId="0" applyNumberFormat="1" applyFont="1" applyBorder="1" applyAlignment="1" applyProtection="1">
      <alignment horizontal="center"/>
      <protection hidden="1"/>
    </xf>
    <xf numFmtId="0" fontId="68" fillId="0" borderId="10" xfId="0" applyFont="1" applyBorder="1" applyAlignment="1" applyProtection="1">
      <alignment horizontal="center"/>
      <protection hidden="1"/>
    </xf>
    <xf numFmtId="10" fontId="53" fillId="17" borderId="26" xfId="0" applyNumberFormat="1" applyFont="1" applyFill="1" applyBorder="1" applyAlignment="1">
      <alignment horizontal="center"/>
    </xf>
    <xf numFmtId="170" fontId="58" fillId="0" borderId="12" xfId="0" applyNumberFormat="1" applyFont="1" applyBorder="1" applyAlignment="1" applyProtection="1">
      <alignment horizontal="center"/>
      <protection hidden="1"/>
    </xf>
    <xf numFmtId="0" fontId="4" fillId="8" borderId="14" xfId="0" applyFont="1" applyFill="1" applyBorder="1" applyAlignment="1">
      <alignment horizontal="center" vertical="center" wrapText="1"/>
    </xf>
    <xf numFmtId="0" fontId="4" fillId="8" borderId="14" xfId="0" applyFont="1" applyFill="1" applyBorder="1" applyAlignment="1">
      <alignment horizontal="center" vertical="center"/>
    </xf>
    <xf numFmtId="0" fontId="4" fillId="8" borderId="12" xfId="0" applyFont="1" applyFill="1" applyBorder="1" applyAlignment="1">
      <alignment horizontal="center" vertical="center"/>
    </xf>
    <xf numFmtId="0" fontId="53" fillId="9" borderId="16" xfId="0" applyFont="1" applyFill="1" applyBorder="1" applyAlignment="1">
      <alignment horizontal="center" wrapText="1"/>
    </xf>
    <xf numFmtId="0" fontId="53" fillId="9" borderId="17" xfId="0" applyFont="1" applyFill="1" applyBorder="1" applyAlignment="1">
      <alignment horizontal="center" wrapText="1"/>
    </xf>
    <xf numFmtId="0" fontId="53" fillId="9" borderId="18" xfId="0" applyFont="1" applyFill="1" applyBorder="1" applyAlignment="1">
      <alignment horizontal="center" wrapText="1"/>
    </xf>
    <xf numFmtId="0" fontId="64" fillId="9" borderId="15" xfId="0" applyFont="1" applyFill="1" applyBorder="1" applyAlignment="1">
      <alignment horizontal="left" wrapText="1"/>
    </xf>
    <xf numFmtId="0" fontId="55" fillId="0" borderId="11" xfId="0" applyFont="1" applyBorder="1" applyAlignment="1">
      <alignment horizontal="center" wrapText="1"/>
    </xf>
    <xf numFmtId="0" fontId="55" fillId="0" borderId="14" xfId="0" applyFont="1" applyBorder="1" applyAlignment="1">
      <alignment horizontal="center" wrapText="1"/>
    </xf>
    <xf numFmtId="0" fontId="55" fillId="0" borderId="12" xfId="0" applyFont="1" applyBorder="1" applyAlignment="1">
      <alignment horizontal="center" wrapText="1"/>
    </xf>
    <xf numFmtId="170" fontId="59" fillId="0" borderId="16" xfId="0" applyNumberFormat="1" applyFont="1" applyBorder="1" applyAlignment="1" applyProtection="1">
      <alignment horizontal="center"/>
      <protection hidden="1"/>
    </xf>
    <xf numFmtId="170" fontId="59" fillId="0" borderId="17" xfId="0" applyNumberFormat="1" applyFont="1" applyBorder="1" applyAlignment="1" applyProtection="1">
      <alignment horizontal="center"/>
      <protection hidden="1"/>
    </xf>
    <xf numFmtId="170" fontId="59" fillId="0" borderId="18" xfId="0" applyNumberFormat="1" applyFont="1" applyBorder="1" applyAlignment="1" applyProtection="1">
      <alignment horizontal="center"/>
      <protection hidden="1"/>
    </xf>
    <xf numFmtId="0" fontId="37" fillId="11" borderId="0" xfId="0" applyFont="1" applyFill="1" applyAlignment="1">
      <alignment horizontal="center" vertical="center"/>
    </xf>
    <xf numFmtId="0" fontId="4" fillId="8" borderId="0" xfId="0" applyFont="1" applyFill="1" applyAlignment="1">
      <alignment horizontal="left" vertical="center" wrapText="1"/>
    </xf>
    <xf numFmtId="170" fontId="53" fillId="9" borderId="13" xfId="0" applyNumberFormat="1" applyFont="1" applyFill="1" applyBorder="1" applyAlignment="1">
      <alignment horizontal="center"/>
    </xf>
    <xf numFmtId="0" fontId="66" fillId="0" borderId="10" xfId="0" applyFont="1" applyBorder="1" applyAlignment="1">
      <alignment horizontal="center"/>
    </xf>
    <xf numFmtId="0" fontId="53" fillId="0" borderId="10" xfId="0" applyFont="1" applyBorder="1" applyAlignment="1">
      <alignment horizontal="center"/>
    </xf>
    <xf numFmtId="0" fontId="68" fillId="0" borderId="10" xfId="0" applyFont="1" applyBorder="1" applyAlignment="1">
      <alignment horizontal="left"/>
    </xf>
    <xf numFmtId="0" fontId="53" fillId="0" borderId="26" xfId="0" applyFont="1" applyBorder="1" applyAlignment="1">
      <alignment horizontal="left"/>
    </xf>
    <xf numFmtId="0" fontId="56" fillId="0" borderId="0" xfId="0" applyFont="1" applyAlignment="1">
      <alignment horizontal="left" vertical="center" wrapText="1"/>
    </xf>
    <xf numFmtId="0" fontId="56" fillId="0" borderId="0" xfId="0" applyFont="1" applyAlignment="1">
      <alignment horizontal="left" vertical="center"/>
    </xf>
    <xf numFmtId="0" fontId="67" fillId="0" borderId="10" xfId="0" applyFont="1" applyBorder="1" applyAlignment="1">
      <alignment horizontal="center" vertical="center" wrapText="1"/>
    </xf>
    <xf numFmtId="0" fontId="67" fillId="0" borderId="10" xfId="0" applyFont="1" applyBorder="1" applyAlignment="1">
      <alignment horizontal="center" wrapText="1"/>
    </xf>
    <xf numFmtId="170" fontId="53" fillId="9" borderId="11" xfId="0" applyNumberFormat="1" applyFont="1" applyFill="1" applyBorder="1" applyAlignment="1">
      <alignment horizontal="center"/>
    </xf>
    <xf numFmtId="170" fontId="53" fillId="9" borderId="14" xfId="0" applyNumberFormat="1" applyFont="1" applyFill="1" applyBorder="1" applyAlignment="1">
      <alignment horizontal="center"/>
    </xf>
    <xf numFmtId="170" fontId="53" fillId="9" borderId="12" xfId="0" applyNumberFormat="1" applyFont="1" applyFill="1" applyBorder="1" applyAlignment="1">
      <alignment horizontal="center"/>
    </xf>
    <xf numFmtId="0" fontId="66" fillId="9" borderId="28" xfId="0" applyFont="1" applyFill="1" applyBorder="1" applyAlignment="1">
      <alignment horizontal="center"/>
    </xf>
    <xf numFmtId="0" fontId="66" fillId="9" borderId="19" xfId="0" applyFont="1" applyFill="1" applyBorder="1" applyAlignment="1">
      <alignment horizontal="center"/>
    </xf>
    <xf numFmtId="0" fontId="66" fillId="9" borderId="20" xfId="0" applyFont="1" applyFill="1" applyBorder="1" applyAlignment="1">
      <alignment horizontal="center"/>
    </xf>
    <xf numFmtId="170" fontId="53" fillId="9" borderId="28" xfId="0" applyNumberFormat="1" applyFont="1" applyFill="1" applyBorder="1" applyAlignment="1">
      <alignment horizontal="center"/>
    </xf>
    <xf numFmtId="170" fontId="53" fillId="9" borderId="20" xfId="0" applyNumberFormat="1" applyFont="1" applyFill="1" applyBorder="1" applyAlignment="1">
      <alignment horizontal="center"/>
    </xf>
    <xf numFmtId="0" fontId="66" fillId="9" borderId="23" xfId="0" applyFont="1" applyFill="1" applyBorder="1" applyAlignment="1">
      <alignment horizontal="center"/>
    </xf>
    <xf numFmtId="0" fontId="66" fillId="9" borderId="15" xfId="0" applyFont="1" applyFill="1" applyBorder="1" applyAlignment="1">
      <alignment horizontal="center"/>
    </xf>
    <xf numFmtId="0" fontId="66" fillId="9" borderId="24" xfId="0" applyFont="1" applyFill="1" applyBorder="1" applyAlignment="1">
      <alignment horizontal="center"/>
    </xf>
    <xf numFmtId="0" fontId="55" fillId="0" borderId="16" xfId="0" applyFont="1" applyBorder="1" applyAlignment="1">
      <alignment horizontal="center" vertical="center"/>
    </xf>
    <xf numFmtId="0" fontId="55" fillId="0" borderId="17" xfId="0" applyFont="1" applyBorder="1" applyAlignment="1">
      <alignment horizontal="center" vertical="center"/>
    </xf>
    <xf numFmtId="0" fontId="55" fillId="0" borderId="18" xfId="0" applyFont="1" applyBorder="1" applyAlignment="1">
      <alignment horizontal="center" vertical="center"/>
    </xf>
    <xf numFmtId="170" fontId="53" fillId="9" borderId="23" xfId="0" applyNumberFormat="1" applyFont="1" applyFill="1" applyBorder="1" applyAlignment="1">
      <alignment horizontal="center"/>
    </xf>
    <xf numFmtId="170" fontId="53" fillId="9" borderId="24" xfId="0" applyNumberFormat="1" applyFont="1" applyFill="1" applyBorder="1" applyAlignment="1">
      <alignment horizontal="center"/>
    </xf>
    <xf numFmtId="170" fontId="53" fillId="9" borderId="15" xfId="0" applyNumberFormat="1" applyFont="1" applyFill="1" applyBorder="1" applyAlignment="1">
      <alignment horizontal="center"/>
    </xf>
    <xf numFmtId="170" fontId="53" fillId="9" borderId="19" xfId="0" applyNumberFormat="1" applyFont="1" applyFill="1" applyBorder="1" applyAlignment="1">
      <alignment horizontal="center"/>
    </xf>
    <xf numFmtId="0" fontId="53" fillId="0" borderId="0" xfId="0" applyFont="1" applyAlignment="1">
      <alignment horizontal="left" wrapText="1"/>
    </xf>
    <xf numFmtId="0" fontId="64" fillId="9" borderId="28" xfId="0" applyFont="1" applyFill="1" applyBorder="1" applyAlignment="1">
      <alignment horizontal="left" vertical="top" wrapText="1"/>
    </xf>
    <xf numFmtId="0" fontId="64" fillId="9" borderId="19" xfId="0" applyFont="1" applyFill="1" applyBorder="1" applyAlignment="1">
      <alignment horizontal="left" vertical="top" wrapText="1"/>
    </xf>
    <xf numFmtId="0" fontId="64" fillId="9" borderId="20" xfId="0" applyFont="1" applyFill="1" applyBorder="1" applyAlignment="1">
      <alignment horizontal="left" vertical="top" wrapText="1"/>
    </xf>
    <xf numFmtId="0" fontId="64" fillId="9" borderId="25" xfId="0" applyFont="1" applyFill="1" applyBorder="1" applyAlignment="1">
      <alignment horizontal="left" vertical="top" wrapText="1"/>
    </xf>
    <xf numFmtId="0" fontId="64" fillId="9" borderId="0" xfId="0" applyFont="1" applyFill="1" applyAlignment="1">
      <alignment horizontal="left" vertical="top" wrapText="1"/>
    </xf>
    <xf numFmtId="0" fontId="64" fillId="9" borderId="21" xfId="0" applyFont="1" applyFill="1" applyBorder="1" applyAlignment="1">
      <alignment horizontal="left" vertical="top" wrapText="1"/>
    </xf>
    <xf numFmtId="0" fontId="64" fillId="9" borderId="23" xfId="0" applyFont="1" applyFill="1" applyBorder="1" applyAlignment="1">
      <alignment horizontal="left" vertical="top" wrapText="1"/>
    </xf>
    <xf numFmtId="0" fontId="64" fillId="9" borderId="15" xfId="0" applyFont="1" applyFill="1" applyBorder="1" applyAlignment="1">
      <alignment horizontal="left" vertical="top" wrapText="1"/>
    </xf>
    <xf numFmtId="0" fontId="64" fillId="9" borderId="24" xfId="0" applyFont="1" applyFill="1" applyBorder="1" applyAlignment="1">
      <alignment horizontal="left" vertical="top" wrapText="1"/>
    </xf>
    <xf numFmtId="0" fontId="53" fillId="9" borderId="11" xfId="0" applyFont="1" applyFill="1" applyBorder="1" applyAlignment="1">
      <alignment horizontal="center"/>
    </xf>
    <xf numFmtId="0" fontId="53" fillId="9" borderId="14" xfId="0" applyFont="1" applyFill="1" applyBorder="1" applyAlignment="1">
      <alignment horizontal="center"/>
    </xf>
    <xf numFmtId="0" fontId="53" fillId="9" borderId="12" xfId="0" applyFont="1" applyFill="1" applyBorder="1" applyAlignment="1">
      <alignment horizontal="center"/>
    </xf>
    <xf numFmtId="0" fontId="56" fillId="0" borderId="25" xfId="0" applyFont="1" applyBorder="1" applyAlignment="1">
      <alignment horizontal="left"/>
    </xf>
    <xf numFmtId="0" fontId="56" fillId="0" borderId="0" xfId="0" applyFont="1" applyAlignment="1">
      <alignment horizontal="left"/>
    </xf>
    <xf numFmtId="0" fontId="53" fillId="9" borderId="15" xfId="0" applyFont="1" applyFill="1" applyBorder="1" applyAlignment="1">
      <alignment horizontal="center"/>
    </xf>
    <xf numFmtId="0" fontId="56" fillId="0" borderId="0" xfId="0" applyFont="1" applyAlignment="1">
      <alignment horizontal="left" wrapText="1"/>
    </xf>
    <xf numFmtId="0" fontId="53" fillId="9" borderId="15" xfId="0" applyFont="1" applyFill="1" applyBorder="1" applyAlignment="1">
      <alignment horizontal="left" wrapText="1"/>
    </xf>
    <xf numFmtId="0" fontId="57" fillId="0" borderId="10" xfId="0" applyFont="1" applyBorder="1" applyAlignment="1">
      <alignment horizontal="left" vertical="center"/>
    </xf>
    <xf numFmtId="0" fontId="70" fillId="0" borderId="10" xfId="0" applyFont="1" applyBorder="1" applyAlignment="1">
      <alignment horizontal="left" vertical="center"/>
    </xf>
    <xf numFmtId="0" fontId="53" fillId="0" borderId="11" xfId="0" applyFont="1" applyBorder="1" applyAlignment="1">
      <alignment horizontal="center" wrapText="1"/>
    </xf>
    <xf numFmtId="0" fontId="53" fillId="0" borderId="14" xfId="0" applyFont="1" applyBorder="1" applyAlignment="1">
      <alignment horizontal="center" wrapText="1"/>
    </xf>
    <xf numFmtId="0" fontId="53" fillId="0" borderId="12" xfId="0" applyFont="1" applyBorder="1" applyAlignment="1">
      <alignment horizontal="center" wrapText="1"/>
    </xf>
    <xf numFmtId="0" fontId="53" fillId="9" borderId="11" xfId="0" applyFont="1" applyFill="1" applyBorder="1" applyAlignment="1">
      <alignment horizontal="center" wrapText="1"/>
    </xf>
    <xf numFmtId="0" fontId="53" fillId="9" borderId="14" xfId="0" applyFont="1" applyFill="1" applyBorder="1" applyAlignment="1">
      <alignment horizontal="center" wrapText="1"/>
    </xf>
    <xf numFmtId="0" fontId="66" fillId="9" borderId="28" xfId="0" applyFont="1" applyFill="1" applyBorder="1" applyAlignment="1">
      <alignment horizontal="left" vertical="top" wrapText="1"/>
    </xf>
    <xf numFmtId="0" fontId="66" fillId="9" borderId="19" xfId="0" applyFont="1" applyFill="1" applyBorder="1" applyAlignment="1">
      <alignment horizontal="left" vertical="top" wrapText="1"/>
    </xf>
    <xf numFmtId="0" fontId="66" fillId="9" borderId="20" xfId="0" applyFont="1" applyFill="1" applyBorder="1" applyAlignment="1">
      <alignment horizontal="left" vertical="top" wrapText="1"/>
    </xf>
    <xf numFmtId="0" fontId="66" fillId="9" borderId="25" xfId="0" applyFont="1" applyFill="1" applyBorder="1" applyAlignment="1">
      <alignment horizontal="left" vertical="top" wrapText="1"/>
    </xf>
    <xf numFmtId="0" fontId="66" fillId="9" borderId="0" xfId="0" applyFont="1" applyFill="1" applyAlignment="1">
      <alignment horizontal="left" vertical="top" wrapText="1"/>
    </xf>
    <xf numFmtId="0" fontId="66" fillId="9" borderId="21" xfId="0" applyFont="1" applyFill="1" applyBorder="1" applyAlignment="1">
      <alignment horizontal="left" vertical="top" wrapText="1"/>
    </xf>
    <xf numFmtId="0" fontId="66" fillId="9" borderId="23" xfId="0" applyFont="1" applyFill="1" applyBorder="1" applyAlignment="1">
      <alignment horizontal="left" vertical="top" wrapText="1"/>
    </xf>
    <xf numFmtId="0" fontId="66" fillId="9" borderId="15" xfId="0" applyFont="1" applyFill="1" applyBorder="1" applyAlignment="1">
      <alignment horizontal="left" vertical="top" wrapText="1"/>
    </xf>
    <xf numFmtId="0" fontId="66" fillId="9" borderId="24" xfId="0" applyFont="1" applyFill="1" applyBorder="1" applyAlignment="1">
      <alignment horizontal="left" vertical="top" wrapText="1"/>
    </xf>
    <xf numFmtId="170" fontId="55" fillId="0" borderId="11" xfId="0" applyNumberFormat="1" applyFont="1" applyBorder="1" applyAlignment="1" applyProtection="1">
      <alignment horizontal="center" wrapText="1"/>
      <protection hidden="1"/>
    </xf>
    <xf numFmtId="170" fontId="55" fillId="0" borderId="14" xfId="0" applyNumberFormat="1" applyFont="1" applyBorder="1" applyAlignment="1" applyProtection="1">
      <alignment horizontal="center" wrapText="1"/>
      <protection hidden="1"/>
    </xf>
    <xf numFmtId="0" fontId="64" fillId="0" borderId="10" xfId="0" applyFont="1" applyBorder="1" applyAlignment="1">
      <alignment horizontal="center" wrapText="1"/>
    </xf>
    <xf numFmtId="170" fontId="53" fillId="0" borderId="10" xfId="0" applyNumberFormat="1" applyFont="1" applyBorder="1" applyAlignment="1">
      <alignment horizontal="center"/>
    </xf>
    <xf numFmtId="170" fontId="53" fillId="0" borderId="11" xfId="0" applyNumberFormat="1" applyFont="1" applyBorder="1" applyAlignment="1" applyProtection="1">
      <alignment horizontal="center"/>
      <protection hidden="1"/>
    </xf>
    <xf numFmtId="0" fontId="53" fillId="0" borderId="14" xfId="0" applyFont="1" applyBorder="1" applyAlignment="1" applyProtection="1">
      <alignment horizontal="center"/>
      <protection hidden="1"/>
    </xf>
    <xf numFmtId="0" fontId="53" fillId="0" borderId="12" xfId="0" applyFont="1" applyBorder="1" applyAlignment="1" applyProtection="1">
      <alignment horizontal="center"/>
      <protection hidden="1"/>
    </xf>
    <xf numFmtId="0" fontId="55" fillId="0" borderId="10" xfId="0" applyFont="1" applyBorder="1" applyAlignment="1">
      <alignment horizontal="center" vertical="center"/>
    </xf>
    <xf numFmtId="0" fontId="68" fillId="8" borderId="11" xfId="0" applyFont="1" applyFill="1" applyBorder="1" applyAlignment="1" applyProtection="1">
      <alignment horizontal="center"/>
      <protection hidden="1"/>
    </xf>
    <xf numFmtId="0" fontId="68" fillId="8" borderId="14" xfId="0" applyFont="1" applyFill="1" applyBorder="1" applyAlignment="1" applyProtection="1">
      <alignment horizontal="center"/>
      <protection hidden="1"/>
    </xf>
    <xf numFmtId="0" fontId="68" fillId="8" borderId="12" xfId="0" applyFont="1" applyFill="1" applyBorder="1" applyAlignment="1" applyProtection="1">
      <alignment horizontal="center"/>
      <protection hidden="1"/>
    </xf>
    <xf numFmtId="170" fontId="68" fillId="8" borderId="11" xfId="0" applyNumberFormat="1" applyFont="1" applyFill="1" applyBorder="1" applyAlignment="1" applyProtection="1">
      <alignment horizontal="center"/>
      <protection hidden="1"/>
    </xf>
    <xf numFmtId="0" fontId="68" fillId="8" borderId="10" xfId="0" applyFont="1" applyFill="1" applyBorder="1" applyAlignment="1">
      <alignment horizontal="center"/>
    </xf>
    <xf numFmtId="1" fontId="68" fillId="0" borderId="10" xfId="0" applyNumberFormat="1" applyFont="1" applyBorder="1" applyAlignment="1" applyProtection="1">
      <alignment horizontal="center" vertical="center"/>
      <protection hidden="1"/>
    </xf>
    <xf numFmtId="0" fontId="53" fillId="0" borderId="11" xfId="0" applyFont="1" applyBorder="1" applyAlignment="1" applyProtection="1">
      <alignment horizontal="center"/>
      <protection hidden="1"/>
    </xf>
    <xf numFmtId="1" fontId="53" fillId="0" borderId="14" xfId="0" applyNumberFormat="1" applyFont="1" applyBorder="1" applyAlignment="1" applyProtection="1">
      <alignment horizontal="center"/>
      <protection hidden="1"/>
    </xf>
    <xf numFmtId="1" fontId="53" fillId="0" borderId="12" xfId="0" applyNumberFormat="1" applyFont="1" applyBorder="1" applyAlignment="1" applyProtection="1">
      <alignment horizontal="center"/>
      <protection hidden="1"/>
    </xf>
    <xf numFmtId="9" fontId="53" fillId="9" borderId="10" xfId="4" applyFont="1" applyFill="1" applyBorder="1" applyAlignment="1" applyProtection="1">
      <alignment horizontal="center"/>
    </xf>
    <xf numFmtId="0" fontId="56" fillId="0" borderId="11" xfId="0" applyFont="1" applyBorder="1" applyAlignment="1">
      <alignment horizontal="center"/>
    </xf>
    <xf numFmtId="0" fontId="56" fillId="0" borderId="14" xfId="0" applyFont="1" applyBorder="1" applyAlignment="1">
      <alignment horizontal="center"/>
    </xf>
    <xf numFmtId="0" fontId="56" fillId="0" borderId="12" xfId="0" applyFont="1" applyBorder="1" applyAlignment="1">
      <alignment horizontal="center"/>
    </xf>
    <xf numFmtId="170" fontId="56" fillId="0" borderId="10" xfId="0" applyNumberFormat="1" applyFont="1" applyBorder="1" applyAlignment="1" applyProtection="1">
      <alignment horizontal="center"/>
      <protection hidden="1"/>
    </xf>
    <xf numFmtId="0" fontId="4" fillId="8" borderId="10" xfId="0" applyFont="1" applyFill="1" applyBorder="1" applyAlignment="1">
      <alignment horizontal="center" vertical="center" wrapText="1"/>
    </xf>
    <xf numFmtId="0" fontId="5" fillId="8" borderId="10" xfId="0" applyFont="1" applyFill="1" applyBorder="1" applyAlignment="1">
      <alignment horizontal="center" vertical="center" wrapText="1"/>
    </xf>
    <xf numFmtId="0" fontId="64" fillId="9" borderId="10" xfId="0" applyFont="1" applyFill="1" applyBorder="1" applyAlignment="1">
      <alignment horizontal="left"/>
    </xf>
    <xf numFmtId="0" fontId="64" fillId="9" borderId="10" xfId="0" applyFont="1" applyFill="1" applyBorder="1" applyAlignment="1">
      <alignment horizontal="center"/>
    </xf>
    <xf numFmtId="170" fontId="53" fillId="0" borderId="14" xfId="0" applyNumberFormat="1" applyFont="1" applyBorder="1" applyAlignment="1" applyProtection="1">
      <alignment horizontal="center"/>
      <protection hidden="1"/>
    </xf>
    <xf numFmtId="170" fontId="53" fillId="0" borderId="12" xfId="0" applyNumberFormat="1" applyFont="1" applyBorder="1" applyAlignment="1" applyProtection="1">
      <alignment horizontal="center"/>
      <protection hidden="1"/>
    </xf>
    <xf numFmtId="0" fontId="55" fillId="0" borderId="14" xfId="0" applyFont="1" applyBorder="1" applyAlignment="1" applyProtection="1">
      <alignment horizontal="center" vertical="center"/>
      <protection hidden="1"/>
    </xf>
    <xf numFmtId="0" fontId="55" fillId="0" borderId="12" xfId="0" applyFont="1" applyBorder="1" applyAlignment="1" applyProtection="1">
      <alignment horizontal="center" vertical="center"/>
      <protection hidden="1"/>
    </xf>
    <xf numFmtId="0" fontId="55" fillId="0" borderId="11" xfId="0" applyFont="1" applyBorder="1" applyAlignment="1">
      <alignment horizontal="center" vertical="center"/>
    </xf>
    <xf numFmtId="0" fontId="55" fillId="0" borderId="14" xfId="0" applyFont="1" applyBorder="1" applyAlignment="1">
      <alignment horizontal="center" vertical="center"/>
    </xf>
    <xf numFmtId="0" fontId="53" fillId="0" borderId="11" xfId="0" applyFont="1" applyBorder="1" applyAlignment="1">
      <alignment horizontal="center"/>
    </xf>
    <xf numFmtId="0" fontId="53" fillId="0" borderId="14" xfId="0" applyFont="1" applyBorder="1" applyAlignment="1">
      <alignment horizontal="center"/>
    </xf>
    <xf numFmtId="0" fontId="53" fillId="0" borderId="12" xfId="0" applyFont="1" applyBorder="1" applyAlignment="1">
      <alignment horizontal="center"/>
    </xf>
    <xf numFmtId="170" fontId="56" fillId="0" borderId="10" xfId="0" applyNumberFormat="1" applyFont="1" applyBorder="1" applyAlignment="1">
      <alignment horizontal="center"/>
    </xf>
    <xf numFmtId="170" fontId="55" fillId="0" borderId="10" xfId="0" applyNumberFormat="1" applyFont="1" applyBorder="1" applyAlignment="1" applyProtection="1">
      <alignment horizontal="center"/>
      <protection hidden="1"/>
    </xf>
    <xf numFmtId="0" fontId="55" fillId="0" borderId="12" xfId="0" applyFont="1" applyBorder="1" applyAlignment="1">
      <alignment horizontal="center" vertical="center"/>
    </xf>
    <xf numFmtId="0" fontId="69" fillId="0" borderId="10" xfId="0" applyFont="1" applyBorder="1" applyAlignment="1">
      <alignment horizontal="center" wrapText="1"/>
    </xf>
    <xf numFmtId="0" fontId="56" fillId="0" borderId="10" xfId="0" applyFont="1" applyBorder="1" applyAlignment="1">
      <alignment horizontal="left"/>
    </xf>
    <xf numFmtId="0" fontId="53" fillId="0" borderId="11" xfId="0" applyFont="1" applyBorder="1" applyAlignment="1" applyProtection="1">
      <alignment horizontal="left"/>
      <protection hidden="1"/>
    </xf>
    <xf numFmtId="0" fontId="53" fillId="0" borderId="14" xfId="0" applyFont="1" applyBorder="1" applyAlignment="1" applyProtection="1">
      <alignment horizontal="left"/>
      <protection hidden="1"/>
    </xf>
    <xf numFmtId="0" fontId="53" fillId="0" borderId="12" xfId="0" applyFont="1" applyBorder="1" applyAlignment="1" applyProtection="1">
      <alignment horizontal="left"/>
      <protection hidden="1"/>
    </xf>
    <xf numFmtId="174" fontId="53" fillId="9" borderId="10" xfId="0" applyNumberFormat="1" applyFont="1" applyFill="1" applyBorder="1" applyAlignment="1">
      <alignment horizontal="center"/>
    </xf>
    <xf numFmtId="9" fontId="53" fillId="0" borderId="0" xfId="0" applyNumberFormat="1" applyFont="1" applyAlignment="1">
      <alignment horizontal="center"/>
    </xf>
    <xf numFmtId="0" fontId="53" fillId="0" borderId="0" xfId="0" applyFont="1" applyAlignment="1">
      <alignment horizontal="center"/>
    </xf>
    <xf numFmtId="0" fontId="56" fillId="0" borderId="10" xfId="0" applyFont="1" applyBorder="1" applyAlignment="1" applyProtection="1">
      <alignment horizontal="left"/>
      <protection hidden="1"/>
    </xf>
    <xf numFmtId="0" fontId="55" fillId="0" borderId="11" xfId="0" applyFont="1" applyBorder="1" applyAlignment="1">
      <alignment horizontal="center"/>
    </xf>
    <xf numFmtId="0" fontId="55" fillId="0" borderId="14" xfId="0" applyFont="1" applyBorder="1" applyAlignment="1">
      <alignment horizontal="center"/>
    </xf>
    <xf numFmtId="0" fontId="55" fillId="0" borderId="12" xfId="0" applyFont="1" applyBorder="1" applyAlignment="1">
      <alignment horizontal="center"/>
    </xf>
    <xf numFmtId="170" fontId="55" fillId="8" borderId="26" xfId="0" applyNumberFormat="1" applyFont="1" applyFill="1" applyBorder="1" applyAlignment="1" applyProtection="1">
      <alignment horizontal="center"/>
      <protection hidden="1"/>
    </xf>
    <xf numFmtId="0" fontId="56" fillId="9" borderId="10" xfId="0" applyFont="1" applyFill="1" applyBorder="1" applyAlignment="1">
      <alignment horizontal="center"/>
    </xf>
    <xf numFmtId="0" fontId="64" fillId="9" borderId="10" xfId="0" applyFont="1" applyFill="1" applyBorder="1" applyAlignment="1">
      <alignment horizontal="center" wrapText="1"/>
    </xf>
    <xf numFmtId="0" fontId="53" fillId="0" borderId="0" xfId="0" applyFont="1" applyAlignment="1">
      <alignment horizontal="left"/>
    </xf>
    <xf numFmtId="170" fontId="56" fillId="8" borderId="10" xfId="0" applyNumberFormat="1" applyFont="1" applyFill="1" applyBorder="1" applyAlignment="1" applyProtection="1">
      <alignment horizontal="center" vertical="center"/>
      <protection hidden="1"/>
    </xf>
    <xf numFmtId="0" fontId="55" fillId="8" borderId="10" xfId="0" applyFont="1" applyFill="1" applyBorder="1" applyAlignment="1">
      <alignment horizontal="center" vertical="center" wrapText="1"/>
    </xf>
    <xf numFmtId="0" fontId="53" fillId="9" borderId="13" xfId="0" applyFont="1" applyFill="1" applyBorder="1" applyAlignment="1">
      <alignment horizontal="left" vertical="center" wrapText="1"/>
    </xf>
    <xf numFmtId="170" fontId="53" fillId="9" borderId="13" xfId="0" applyNumberFormat="1" applyFont="1" applyFill="1" applyBorder="1" applyAlignment="1">
      <alignment horizontal="center" vertical="center"/>
    </xf>
    <xf numFmtId="0" fontId="55" fillId="8" borderId="10" xfId="0" applyFont="1" applyFill="1" applyBorder="1" applyAlignment="1">
      <alignment horizontal="center" vertical="center"/>
    </xf>
    <xf numFmtId="170" fontId="55" fillId="8" borderId="10" xfId="0" applyNumberFormat="1" applyFont="1" applyFill="1" applyBorder="1" applyAlignment="1" applyProtection="1">
      <alignment horizontal="center" vertical="center"/>
      <protection hidden="1"/>
    </xf>
    <xf numFmtId="0" fontId="53" fillId="9" borderId="10" xfId="0" applyFont="1" applyFill="1" applyBorder="1" applyAlignment="1">
      <alignment horizontal="center" vertical="center" wrapText="1"/>
    </xf>
    <xf numFmtId="0" fontId="64" fillId="9" borderId="10" xfId="0" applyFont="1" applyFill="1" applyBorder="1" applyAlignment="1">
      <alignment horizontal="left" vertical="center" wrapText="1"/>
    </xf>
    <xf numFmtId="0" fontId="64" fillId="9" borderId="10" xfId="0" applyFont="1" applyFill="1" applyBorder="1" applyAlignment="1">
      <alignment horizontal="left" vertical="center"/>
    </xf>
    <xf numFmtId="170" fontId="53" fillId="9" borderId="10" xfId="0" applyNumberFormat="1" applyFont="1" applyFill="1" applyBorder="1" applyAlignment="1">
      <alignment horizontal="center" vertical="center"/>
    </xf>
    <xf numFmtId="0" fontId="53" fillId="9" borderId="10" xfId="0" applyFont="1" applyFill="1" applyBorder="1" applyAlignment="1">
      <alignment horizontal="center" vertical="center"/>
    </xf>
    <xf numFmtId="0" fontId="53" fillId="9" borderId="13" xfId="0" applyFont="1" applyFill="1" applyBorder="1" applyAlignment="1">
      <alignment horizontal="center" vertical="center" wrapText="1"/>
    </xf>
    <xf numFmtId="0" fontId="64" fillId="9" borderId="13" xfId="0" applyFont="1" applyFill="1" applyBorder="1" applyAlignment="1">
      <alignment horizontal="left" vertical="center" wrapText="1"/>
    </xf>
    <xf numFmtId="0" fontId="64" fillId="9" borderId="13" xfId="0" applyFont="1" applyFill="1" applyBorder="1" applyAlignment="1">
      <alignment horizontal="left" vertical="center"/>
    </xf>
    <xf numFmtId="0" fontId="53" fillId="9" borderId="13" xfId="0" applyFont="1" applyFill="1" applyBorder="1" applyAlignment="1">
      <alignment horizontal="center" vertical="center"/>
    </xf>
    <xf numFmtId="0" fontId="57" fillId="0" borderId="0" xfId="0" applyFont="1" applyAlignment="1">
      <alignment horizontal="left" vertical="center" wrapText="1"/>
    </xf>
    <xf numFmtId="0" fontId="56" fillId="0" borderId="10" xfId="0" applyFont="1" applyBorder="1" applyAlignment="1">
      <alignment horizontal="center" vertical="center" wrapText="1"/>
    </xf>
    <xf numFmtId="0" fontId="53" fillId="9" borderId="10" xfId="0" applyFont="1" applyFill="1" applyBorder="1" applyAlignment="1">
      <alignment horizontal="left" vertical="center" wrapText="1"/>
    </xf>
    <xf numFmtId="0" fontId="53" fillId="0" borderId="10" xfId="0" applyFont="1" applyBorder="1" applyAlignment="1">
      <alignment horizontal="center" wrapText="1"/>
    </xf>
    <xf numFmtId="0" fontId="56" fillId="0" borderId="10" xfId="0" applyFont="1" applyBorder="1" applyAlignment="1">
      <alignment horizontal="center" wrapText="1"/>
    </xf>
    <xf numFmtId="0" fontId="56" fillId="0" borderId="10" xfId="0" applyFont="1" applyBorder="1" applyAlignment="1">
      <alignment horizontal="center" vertical="center"/>
    </xf>
    <xf numFmtId="0" fontId="53" fillId="8" borderId="10" xfId="0" applyFont="1" applyFill="1" applyBorder="1" applyAlignment="1">
      <alignment horizontal="center" vertical="center" wrapText="1"/>
    </xf>
    <xf numFmtId="0" fontId="64" fillId="9" borderId="10" xfId="0" applyFont="1" applyFill="1" applyBorder="1" applyAlignment="1">
      <alignment horizontal="left" wrapText="1"/>
    </xf>
    <xf numFmtId="0" fontId="66" fillId="0" borderId="11" xfId="0" applyFont="1" applyBorder="1" applyAlignment="1">
      <alignment horizontal="center" wrapText="1"/>
    </xf>
    <xf numFmtId="0" fontId="66" fillId="0" borderId="14" xfId="0" applyFont="1" applyBorder="1" applyAlignment="1">
      <alignment horizontal="center" wrapText="1"/>
    </xf>
    <xf numFmtId="0" fontId="66" fillId="0" borderId="12" xfId="0" applyFont="1" applyBorder="1" applyAlignment="1">
      <alignment horizontal="center" wrapText="1"/>
    </xf>
    <xf numFmtId="0" fontId="55" fillId="0" borderId="13" xfId="0" applyFont="1" applyBorder="1" applyAlignment="1">
      <alignment horizontal="center" vertical="center"/>
    </xf>
    <xf numFmtId="0" fontId="66" fillId="0" borderId="10" xfId="0" applyFont="1" applyBorder="1" applyAlignment="1">
      <alignment horizontal="center" wrapText="1"/>
    </xf>
    <xf numFmtId="0" fontId="53" fillId="0" borderId="12" xfId="0" applyFont="1" applyBorder="1" applyAlignment="1">
      <alignment horizontal="center" vertical="center" wrapText="1"/>
    </xf>
    <xf numFmtId="0" fontId="53" fillId="0" borderId="28" xfId="0" applyFont="1" applyBorder="1" applyAlignment="1">
      <alignment horizontal="left" vertical="top" wrapText="1"/>
    </xf>
    <xf numFmtId="0" fontId="53" fillId="0" borderId="19" xfId="0" applyFont="1" applyBorder="1" applyAlignment="1">
      <alignment horizontal="left" vertical="top" wrapText="1"/>
    </xf>
    <xf numFmtId="0" fontId="53" fillId="0" borderId="20" xfId="0" applyFont="1" applyBorder="1" applyAlignment="1">
      <alignment horizontal="left" vertical="top" wrapText="1"/>
    </xf>
    <xf numFmtId="0" fontId="53" fillId="0" borderId="25" xfId="0" applyFont="1" applyBorder="1" applyAlignment="1">
      <alignment horizontal="left" vertical="top" wrapText="1"/>
    </xf>
    <xf numFmtId="0" fontId="53" fillId="0" borderId="0" xfId="0" applyFont="1" applyAlignment="1">
      <alignment horizontal="left" vertical="top" wrapText="1"/>
    </xf>
    <xf numFmtId="0" fontId="53" fillId="0" borderId="21" xfId="0" applyFont="1" applyBorder="1" applyAlignment="1">
      <alignment horizontal="left" vertical="top" wrapText="1"/>
    </xf>
    <xf numFmtId="0" fontId="53" fillId="0" borderId="23" xfId="0" applyFont="1" applyBorder="1" applyAlignment="1">
      <alignment horizontal="left" vertical="top" wrapText="1"/>
    </xf>
    <xf numFmtId="0" fontId="53" fillId="0" borderId="15" xfId="0" applyFont="1" applyBorder="1" applyAlignment="1">
      <alignment horizontal="left" vertical="top" wrapText="1"/>
    </xf>
    <xf numFmtId="0" fontId="53" fillId="0" borderId="24" xfId="0" applyFont="1" applyBorder="1" applyAlignment="1">
      <alignment horizontal="left" vertical="top" wrapText="1"/>
    </xf>
    <xf numFmtId="0" fontId="56" fillId="0" borderId="11" xfId="0" applyFont="1" applyBorder="1" applyAlignment="1">
      <alignment horizontal="center" vertical="center"/>
    </xf>
    <xf numFmtId="0" fontId="56" fillId="0" borderId="14" xfId="0" applyFont="1" applyBorder="1" applyAlignment="1">
      <alignment horizontal="center" vertical="center"/>
    </xf>
    <xf numFmtId="0" fontId="56" fillId="0" borderId="12" xfId="0" applyFont="1" applyBorder="1" applyAlignment="1">
      <alignment horizontal="center" vertical="center"/>
    </xf>
    <xf numFmtId="0" fontId="54" fillId="14" borderId="0" xfId="0" applyFont="1" applyFill="1" applyAlignment="1">
      <alignment horizontal="center" vertical="center" wrapText="1"/>
    </xf>
    <xf numFmtId="0" fontId="53" fillId="0" borderId="4" xfId="0" applyFont="1" applyBorder="1" applyAlignment="1">
      <alignment horizontal="center"/>
    </xf>
    <xf numFmtId="0" fontId="53" fillId="0" borderId="0" xfId="0" applyFont="1" applyAlignment="1">
      <alignment horizontal="left" vertical="center" wrapText="1"/>
    </xf>
    <xf numFmtId="0" fontId="56" fillId="0" borderId="0" xfId="0" applyFont="1" applyAlignment="1">
      <alignment horizontal="left" vertical="top" wrapText="1"/>
    </xf>
    <xf numFmtId="0" fontId="53" fillId="0" borderId="0" xfId="0" applyFont="1" applyAlignment="1">
      <alignment horizontal="center" wrapText="1"/>
    </xf>
    <xf numFmtId="0" fontId="53" fillId="0" borderId="4" xfId="0" applyFont="1" applyBorder="1" applyAlignment="1">
      <alignment horizontal="center" wrapText="1"/>
    </xf>
    <xf numFmtId="0" fontId="56" fillId="0" borderId="11" xfId="0" applyFont="1" applyBorder="1" applyAlignment="1">
      <alignment horizontal="center" vertical="center" wrapText="1"/>
    </xf>
    <xf numFmtId="0" fontId="56" fillId="0" borderId="14" xfId="0" applyFont="1" applyBorder="1" applyAlignment="1">
      <alignment horizontal="center" vertical="center" wrapText="1"/>
    </xf>
    <xf numFmtId="0" fontId="56" fillId="0" borderId="12" xfId="0" applyFont="1" applyBorder="1" applyAlignment="1">
      <alignment horizontal="center" vertical="center" wrapText="1"/>
    </xf>
    <xf numFmtId="3" fontId="53" fillId="0" borderId="0" xfId="0" applyNumberFormat="1" applyFont="1" applyAlignment="1">
      <alignment horizontal="center"/>
    </xf>
    <xf numFmtId="3" fontId="53" fillId="0" borderId="4" xfId="0" applyNumberFormat="1" applyFont="1" applyBorder="1" applyAlignment="1">
      <alignment horizontal="center"/>
    </xf>
    <xf numFmtId="0" fontId="64" fillId="9" borderId="11" xfId="0" applyFont="1" applyFill="1" applyBorder="1" applyAlignment="1">
      <alignment horizontal="left" vertical="top" wrapText="1"/>
    </xf>
    <xf numFmtId="0" fontId="64" fillId="9" borderId="14" xfId="0" applyFont="1" applyFill="1" applyBorder="1" applyAlignment="1">
      <alignment horizontal="left" vertical="top" wrapText="1"/>
    </xf>
    <xf numFmtId="0" fontId="64" fillId="9" borderId="12" xfId="0" applyFont="1" applyFill="1" applyBorder="1" applyAlignment="1">
      <alignment horizontal="left" vertical="top" wrapText="1"/>
    </xf>
    <xf numFmtId="0" fontId="66" fillId="9" borderId="14" xfId="0" applyFont="1" applyFill="1" applyBorder="1" applyAlignment="1">
      <alignment horizontal="left" wrapText="1"/>
    </xf>
    <xf numFmtId="0" fontId="66" fillId="9" borderId="15" xfId="0" applyFont="1" applyFill="1" applyBorder="1" applyAlignment="1">
      <alignment horizontal="left" wrapText="1"/>
    </xf>
    <xf numFmtId="170" fontId="66" fillId="9" borderId="11" xfId="0" applyNumberFormat="1" applyFont="1" applyFill="1" applyBorder="1" applyAlignment="1">
      <alignment horizontal="center" vertical="top"/>
    </xf>
    <xf numFmtId="170" fontId="66" fillId="9" borderId="14" xfId="0" applyNumberFormat="1" applyFont="1" applyFill="1" applyBorder="1" applyAlignment="1">
      <alignment horizontal="center" vertical="top"/>
    </xf>
    <xf numFmtId="170" fontId="66" fillId="9" borderId="12" xfId="0" applyNumberFormat="1" applyFont="1" applyFill="1" applyBorder="1" applyAlignment="1">
      <alignment horizontal="center" vertical="top"/>
    </xf>
    <xf numFmtId="0" fontId="66" fillId="9" borderId="11" xfId="0" applyFont="1" applyFill="1" applyBorder="1" applyAlignment="1">
      <alignment horizontal="left" vertical="top" wrapText="1"/>
    </xf>
    <xf numFmtId="0" fontId="66" fillId="9" borderId="14" xfId="0" applyFont="1" applyFill="1" applyBorder="1" applyAlignment="1">
      <alignment horizontal="left" vertical="top" wrapText="1"/>
    </xf>
    <xf numFmtId="0" fontId="66" fillId="9" borderId="12" xfId="0" applyFont="1" applyFill="1" applyBorder="1" applyAlignment="1">
      <alignment horizontal="left" vertical="top" wrapText="1"/>
    </xf>
    <xf numFmtId="0" fontId="66" fillId="9" borderId="10" xfId="0" applyFont="1" applyFill="1" applyBorder="1" applyAlignment="1">
      <alignment wrapText="1"/>
    </xf>
    <xf numFmtId="0" fontId="53" fillId="0" borderId="0" xfId="0" applyFont="1" applyAlignment="1">
      <alignment horizontal="center" vertical="center" wrapText="1"/>
    </xf>
    <xf numFmtId="0" fontId="64" fillId="9" borderId="10" xfId="0" applyFont="1" applyFill="1" applyBorder="1" applyAlignment="1">
      <alignment wrapText="1"/>
    </xf>
    <xf numFmtId="0" fontId="53" fillId="0" borderId="10" xfId="0" applyFont="1" applyBorder="1" applyAlignment="1">
      <alignment horizontal="center" vertical="center" wrapText="1"/>
    </xf>
    <xf numFmtId="0" fontId="64" fillId="0" borderId="10" xfId="0" applyFont="1" applyBorder="1" applyAlignment="1">
      <alignment horizontal="center" vertical="center" wrapText="1"/>
    </xf>
    <xf numFmtId="170" fontId="4" fillId="8" borderId="10" xfId="0" applyNumberFormat="1" applyFont="1" applyFill="1" applyBorder="1" applyAlignment="1" applyProtection="1">
      <alignment horizontal="center"/>
      <protection hidden="1"/>
    </xf>
    <xf numFmtId="0" fontId="4" fillId="8" borderId="10" xfId="0" applyFont="1" applyFill="1" applyBorder="1" applyAlignment="1" applyProtection="1">
      <alignment horizontal="center"/>
      <protection hidden="1"/>
    </xf>
    <xf numFmtId="0" fontId="8" fillId="8" borderId="10" xfId="0" applyFont="1" applyFill="1" applyBorder="1"/>
    <xf numFmtId="0" fontId="53" fillId="9" borderId="11" xfId="0" applyFont="1" applyFill="1" applyBorder="1" applyAlignment="1">
      <alignment horizontal="left" vertical="center"/>
    </xf>
    <xf numFmtId="0" fontId="53" fillId="9" borderId="14" xfId="0" applyFont="1" applyFill="1" applyBorder="1" applyAlignment="1">
      <alignment horizontal="left" vertical="center"/>
    </xf>
    <xf numFmtId="0" fontId="53" fillId="9" borderId="12" xfId="0" applyFont="1" applyFill="1" applyBorder="1" applyAlignment="1">
      <alignment horizontal="left" vertical="center"/>
    </xf>
    <xf numFmtId="0" fontId="8" fillId="9" borderId="11" xfId="0" applyFont="1" applyFill="1" applyBorder="1" applyAlignment="1">
      <alignment horizontal="left" vertical="center"/>
    </xf>
    <xf numFmtId="0" fontId="8" fillId="9" borderId="14" xfId="0" applyFont="1" applyFill="1" applyBorder="1" applyAlignment="1">
      <alignment horizontal="left" vertical="center"/>
    </xf>
    <xf numFmtId="0" fontId="8" fillId="9" borderId="12" xfId="0" applyFont="1" applyFill="1" applyBorder="1" applyAlignment="1">
      <alignment horizontal="left" vertical="center"/>
    </xf>
    <xf numFmtId="0" fontId="8" fillId="8" borderId="10" xfId="0" applyFont="1" applyFill="1" applyBorder="1" applyAlignment="1">
      <alignment wrapText="1"/>
    </xf>
    <xf numFmtId="0" fontId="4" fillId="0" borderId="10" xfId="0" applyFont="1" applyBorder="1" applyAlignment="1">
      <alignment horizontal="center"/>
    </xf>
    <xf numFmtId="0" fontId="4" fillId="8" borderId="0" xfId="0" applyFont="1" applyFill="1" applyAlignment="1">
      <alignment horizontal="center" vertical="center"/>
    </xf>
    <xf numFmtId="0" fontId="25" fillId="9" borderId="15" xfId="0" applyFont="1" applyFill="1" applyBorder="1" applyAlignment="1">
      <alignment horizontal="left" vertical="center" wrapText="1"/>
    </xf>
    <xf numFmtId="0" fontId="55" fillId="0" borderId="22" xfId="0" applyFont="1" applyBorder="1" applyAlignment="1">
      <alignment horizontal="center" vertical="center"/>
    </xf>
    <xf numFmtId="0" fontId="67" fillId="0" borderId="23" xfId="0" applyFont="1" applyBorder="1" applyAlignment="1">
      <alignment horizontal="center" vertical="center" wrapText="1"/>
    </xf>
    <xf numFmtId="0" fontId="67" fillId="0" borderId="15" xfId="0" applyFont="1" applyBorder="1" applyAlignment="1">
      <alignment horizontal="center" vertical="center" wrapText="1"/>
    </xf>
    <xf numFmtId="0" fontId="66" fillId="8" borderId="10" xfId="0" applyFont="1" applyFill="1" applyBorder="1" applyAlignment="1">
      <alignment horizontal="center"/>
    </xf>
    <xf numFmtId="0" fontId="66" fillId="0" borderId="23" xfId="0" applyFont="1" applyBorder="1" applyAlignment="1">
      <alignment horizontal="center"/>
    </xf>
    <xf numFmtId="0" fontId="66" fillId="0" borderId="15" xfId="0" applyFont="1" applyBorder="1" applyAlignment="1">
      <alignment horizontal="center"/>
    </xf>
    <xf numFmtId="0" fontId="66" fillId="0" borderId="24" xfId="0" applyFont="1" applyBorder="1" applyAlignment="1">
      <alignment horizontal="center"/>
    </xf>
    <xf numFmtId="0" fontId="53" fillId="0" borderId="23" xfId="0" applyFont="1" applyBorder="1" applyAlignment="1">
      <alignment horizontal="center"/>
    </xf>
    <xf numFmtId="0" fontId="53" fillId="0" borderId="15" xfId="0" applyFont="1" applyBorder="1" applyAlignment="1">
      <alignment horizontal="center"/>
    </xf>
    <xf numFmtId="0" fontId="53" fillId="0" borderId="24" xfId="0" applyFont="1" applyBorder="1" applyAlignment="1">
      <alignment horizontal="center"/>
    </xf>
    <xf numFmtId="0" fontId="67" fillId="0" borderId="11" xfId="0" applyFont="1" applyBorder="1" applyAlignment="1">
      <alignment horizontal="center" wrapText="1"/>
    </xf>
    <xf numFmtId="0" fontId="67" fillId="0" borderId="14" xfId="0" applyFont="1" applyBorder="1" applyAlignment="1">
      <alignment horizontal="center" wrapText="1"/>
    </xf>
    <xf numFmtId="0" fontId="67" fillId="0" borderId="12" xfId="0" applyFont="1" applyBorder="1" applyAlignment="1">
      <alignment horizontal="center" wrapText="1"/>
    </xf>
    <xf numFmtId="0" fontId="55" fillId="0" borderId="10" xfId="0" applyFont="1" applyBorder="1" applyAlignment="1">
      <alignment horizontal="center"/>
    </xf>
    <xf numFmtId="0" fontId="55" fillId="0" borderId="27" xfId="0" applyFont="1" applyBorder="1" applyAlignment="1">
      <alignment horizontal="center" vertical="center"/>
    </xf>
    <xf numFmtId="0" fontId="53" fillId="8" borderId="11" xfId="0" applyFont="1" applyFill="1" applyBorder="1" applyAlignment="1">
      <alignment horizontal="left"/>
    </xf>
    <xf numFmtId="0" fontId="53" fillId="8" borderId="14" xfId="0" applyFont="1" applyFill="1" applyBorder="1" applyAlignment="1">
      <alignment horizontal="left"/>
    </xf>
    <xf numFmtId="0" fontId="53" fillId="8" borderId="12" xfId="0" applyFont="1" applyFill="1" applyBorder="1" applyAlignment="1">
      <alignment horizontal="left"/>
    </xf>
    <xf numFmtId="0" fontId="53" fillId="0" borderId="26" xfId="0" applyFont="1" applyBorder="1" applyAlignment="1">
      <alignment horizontal="center"/>
    </xf>
    <xf numFmtId="0" fontId="5" fillId="6" borderId="25" xfId="1" applyFont="1" applyFill="1" applyBorder="1" applyAlignment="1" applyProtection="1">
      <alignment horizontal="center" vertical="center" wrapText="1"/>
      <protection hidden="1"/>
    </xf>
    <xf numFmtId="0" fontId="5" fillId="6" borderId="0" xfId="1" applyFont="1" applyFill="1" applyBorder="1" applyAlignment="1" applyProtection="1">
      <alignment horizontal="center" vertical="center" wrapText="1"/>
      <protection hidden="1"/>
    </xf>
    <xf numFmtId="0" fontId="5" fillId="4" borderId="25" xfId="1" applyFont="1" applyFill="1" applyBorder="1" applyAlignment="1" applyProtection="1">
      <alignment horizontal="center" vertical="center" wrapText="1"/>
      <protection hidden="1"/>
    </xf>
    <xf numFmtId="0" fontId="5" fillId="4" borderId="0" xfId="1" applyFont="1" applyFill="1" applyBorder="1" applyAlignment="1" applyProtection="1">
      <alignment horizontal="center" vertical="center" wrapText="1"/>
      <protection hidden="1"/>
    </xf>
    <xf numFmtId="170" fontId="55" fillId="0" borderId="16" xfId="0" applyNumberFormat="1" applyFont="1" applyBorder="1" applyAlignment="1" applyProtection="1">
      <alignment horizontal="center" wrapText="1"/>
      <protection hidden="1"/>
    </xf>
    <xf numFmtId="170" fontId="55" fillId="0" borderId="17" xfId="0" applyNumberFormat="1" applyFont="1" applyBorder="1" applyAlignment="1" applyProtection="1">
      <alignment horizontal="center" wrapText="1"/>
      <protection hidden="1"/>
    </xf>
    <xf numFmtId="170" fontId="55" fillId="0" borderId="22" xfId="0" applyNumberFormat="1" applyFont="1" applyBorder="1" applyAlignment="1" applyProtection="1">
      <alignment horizontal="center" wrapText="1"/>
      <protection hidden="1"/>
    </xf>
    <xf numFmtId="170" fontId="53" fillId="8" borderId="10" xfId="0" applyNumberFormat="1" applyFont="1" applyFill="1" applyBorder="1" applyAlignment="1">
      <alignment horizontal="center"/>
    </xf>
    <xf numFmtId="0" fontId="53" fillId="16" borderId="11" xfId="0" applyFont="1" applyFill="1" applyBorder="1" applyAlignment="1">
      <alignment horizontal="center" wrapText="1"/>
    </xf>
    <xf numFmtId="0" fontId="53" fillId="16" borderId="14" xfId="0" applyFont="1" applyFill="1" applyBorder="1" applyAlignment="1">
      <alignment horizontal="center" wrapText="1"/>
    </xf>
    <xf numFmtId="0" fontId="53" fillId="16" borderId="12" xfId="0" applyFont="1" applyFill="1" applyBorder="1" applyAlignment="1">
      <alignment horizontal="center" wrapText="1"/>
    </xf>
    <xf numFmtId="170" fontId="59" fillId="9" borderId="16" xfId="0" applyNumberFormat="1" applyFont="1" applyFill="1" applyBorder="1" applyAlignment="1" applyProtection="1">
      <alignment horizontal="center"/>
      <protection hidden="1"/>
    </xf>
    <xf numFmtId="170" fontId="59" fillId="9" borderId="17" xfId="0" applyNumberFormat="1" applyFont="1" applyFill="1" applyBorder="1" applyAlignment="1" applyProtection="1">
      <alignment horizontal="center"/>
      <protection hidden="1"/>
    </xf>
    <xf numFmtId="170" fontId="59" fillId="9" borderId="18" xfId="0" applyNumberFormat="1" applyFont="1" applyFill="1" applyBorder="1" applyAlignment="1" applyProtection="1">
      <alignment horizontal="center"/>
      <protection hidden="1"/>
    </xf>
    <xf numFmtId="170" fontId="37" fillId="8" borderId="0" xfId="0" applyNumberFormat="1" applyFont="1" applyFill="1" applyBorder="1" applyAlignment="1" applyProtection="1">
      <alignment horizontal="center"/>
      <protection hidden="1"/>
    </xf>
    <xf numFmtId="170" fontId="37" fillId="0" borderId="0" xfId="0" applyNumberFormat="1" applyFont="1" applyBorder="1" applyAlignment="1" applyProtection="1">
      <alignment horizontal="center"/>
      <protection hidden="1"/>
    </xf>
    <xf numFmtId="0" fontId="65" fillId="0" borderId="19" xfId="0" applyFont="1" applyBorder="1" applyAlignment="1">
      <alignment horizontal="center" vertical="center" wrapText="1"/>
    </xf>
    <xf numFmtId="0" fontId="65" fillId="0" borderId="20" xfId="0" applyFont="1" applyBorder="1" applyAlignment="1">
      <alignment horizontal="center" vertical="center" wrapText="1"/>
    </xf>
    <xf numFmtId="0" fontId="65" fillId="0" borderId="0" xfId="0" applyFont="1" applyAlignment="1">
      <alignment horizontal="center" vertical="center" wrapText="1"/>
    </xf>
    <xf numFmtId="0" fontId="65" fillId="0" borderId="21" xfId="0" applyFont="1" applyBorder="1" applyAlignment="1">
      <alignment horizontal="center" vertical="center" wrapText="1"/>
    </xf>
    <xf numFmtId="0" fontId="7" fillId="8" borderId="16" xfId="0" applyFont="1" applyFill="1" applyBorder="1" applyAlignment="1">
      <alignment horizontal="center" vertical="center"/>
    </xf>
    <xf numFmtId="0" fontId="7" fillId="8" borderId="17" xfId="0" applyFont="1" applyFill="1" applyBorder="1" applyAlignment="1">
      <alignment horizontal="center" vertical="center"/>
    </xf>
    <xf numFmtId="0" fontId="7" fillId="8" borderId="18" xfId="0" applyFont="1" applyFill="1" applyBorder="1" applyAlignment="1">
      <alignment horizontal="center" vertical="center"/>
    </xf>
    <xf numFmtId="1" fontId="4" fillId="8" borderId="10" xfId="0" applyNumberFormat="1" applyFont="1" applyFill="1" applyBorder="1" applyAlignment="1" applyProtection="1">
      <alignment horizontal="center"/>
      <protection hidden="1"/>
    </xf>
    <xf numFmtId="0" fontId="54" fillId="14" borderId="0" xfId="0" applyFont="1" applyFill="1" applyAlignment="1">
      <alignment horizontal="center" vertical="center"/>
    </xf>
    <xf numFmtId="0" fontId="53" fillId="0" borderId="4" xfId="0" applyFont="1" applyBorder="1" applyAlignment="1">
      <alignment horizontal="center" vertical="center" wrapText="1"/>
    </xf>
    <xf numFmtId="0" fontId="14" fillId="9" borderId="5" xfId="0" applyFont="1" applyFill="1" applyBorder="1" applyAlignment="1">
      <alignment horizontal="center" vertical="center" wrapText="1"/>
    </xf>
    <xf numFmtId="0" fontId="14" fillId="9" borderId="6" xfId="0" applyFont="1" applyFill="1" applyBorder="1" applyAlignment="1">
      <alignment horizontal="center" vertical="center" wrapText="1"/>
    </xf>
    <xf numFmtId="0" fontId="14" fillId="9" borderId="7" xfId="0" applyFont="1" applyFill="1" applyBorder="1" applyAlignment="1">
      <alignment horizontal="center" vertical="center" wrapText="1"/>
    </xf>
    <xf numFmtId="0" fontId="49" fillId="4" borderId="0" xfId="0" applyFont="1" applyFill="1" applyAlignment="1">
      <alignment horizontal="left" vertical="center" wrapText="1"/>
    </xf>
    <xf numFmtId="0" fontId="14" fillId="8" borderId="5" xfId="0" applyFont="1" applyFill="1" applyBorder="1" applyAlignment="1">
      <alignment horizontal="center" vertical="center" wrapText="1"/>
    </xf>
    <xf numFmtId="0" fontId="14" fillId="8" borderId="6" xfId="0" applyFont="1" applyFill="1" applyBorder="1" applyAlignment="1">
      <alignment horizontal="center" vertical="center" wrapText="1"/>
    </xf>
    <xf numFmtId="0" fontId="14" fillId="8" borderId="5" xfId="0" applyFont="1" applyFill="1" applyBorder="1" applyAlignment="1">
      <alignment horizontal="center" vertical="center"/>
    </xf>
    <xf numFmtId="0" fontId="14" fillId="8" borderId="7" xfId="0" applyFont="1" applyFill="1" applyBorder="1" applyAlignment="1">
      <alignment horizontal="center" vertical="center"/>
    </xf>
    <xf numFmtId="0" fontId="14" fillId="8" borderId="6" xfId="0" applyFont="1" applyFill="1" applyBorder="1" applyAlignment="1">
      <alignment horizontal="center" vertical="center"/>
    </xf>
    <xf numFmtId="0" fontId="49" fillId="4" borderId="0" xfId="0" applyFont="1" applyFill="1" applyAlignment="1">
      <alignment horizontal="left" vertical="top" wrapText="1"/>
    </xf>
    <xf numFmtId="0" fontId="49" fillId="4" borderId="0" xfId="0" applyFont="1" applyFill="1" applyAlignment="1">
      <alignment horizontal="left" vertical="center"/>
    </xf>
    <xf numFmtId="170" fontId="6" fillId="0" borderId="0" xfId="0" applyNumberFormat="1" applyFont="1" applyBorder="1" applyAlignment="1" applyProtection="1">
      <alignment horizontal="center"/>
      <protection hidden="1"/>
    </xf>
    <xf numFmtId="0" fontId="37" fillId="4" borderId="0" xfId="1" applyFont="1" applyFill="1" applyBorder="1" applyAlignment="1">
      <alignment horizontal="center" vertical="center"/>
    </xf>
    <xf numFmtId="0" fontId="38" fillId="6" borderId="0" xfId="1" applyFont="1" applyFill="1" applyBorder="1" applyAlignment="1">
      <alignment horizontal="center" vertical="center"/>
    </xf>
    <xf numFmtId="6" fontId="42" fillId="0" borderId="0" xfId="4" applyNumberFormat="1" applyFont="1" applyBorder="1" applyAlignment="1" applyProtection="1">
      <alignment horizontal="center"/>
      <protection hidden="1"/>
    </xf>
    <xf numFmtId="0" fontId="10" fillId="4" borderId="1" xfId="1" applyFont="1" applyFill="1" applyBorder="1" applyAlignment="1" applyProtection="1">
      <alignment horizontal="center" vertical="center" wrapText="1"/>
      <protection hidden="1"/>
    </xf>
    <xf numFmtId="0" fontId="22" fillId="4" borderId="1" xfId="1" applyFont="1" applyFill="1" applyBorder="1" applyAlignment="1">
      <alignment horizontal="center" vertical="center" wrapText="1"/>
    </xf>
  </cellXfs>
  <cellStyles count="5">
    <cellStyle name="Hipervínculo" xfId="1" builtinId="8"/>
    <cellStyle name="Millares_Modelo Financiero ACME Final" xfId="2"/>
    <cellStyle name="Moneda [0]" xfId="3" builtinId="7"/>
    <cellStyle name="Normal" xfId="0" builtinId="0"/>
    <cellStyle name="Porcentaje" xfId="4" builtinId="5"/>
  </cellStyles>
  <dxfs count="19">
    <dxf>
      <fill>
        <patternFill>
          <bgColor rgb="FF92D050"/>
        </patternFill>
      </fill>
    </dxf>
    <dxf>
      <fill>
        <patternFill>
          <bgColor rgb="FFFF0000"/>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92D050"/>
        </patternFill>
      </fill>
    </dxf>
    <dxf>
      <fill>
        <patternFill>
          <bgColor rgb="FF92D050"/>
        </patternFill>
      </fill>
    </dxf>
    <dxf>
      <fill>
        <patternFill>
          <bgColor rgb="FFFF0000"/>
        </patternFill>
      </fill>
    </dxf>
    <dxf>
      <font>
        <color auto="1"/>
      </font>
      <fill>
        <patternFill>
          <bgColor rgb="FFFF0000"/>
        </patternFill>
      </fill>
    </dxf>
    <dxf>
      <fill>
        <patternFill>
          <bgColor theme="9" tint="0.39994506668294322"/>
        </patternFill>
      </fill>
    </dxf>
    <dxf>
      <fill>
        <patternFill>
          <bgColor theme="9"/>
        </patternFill>
      </fill>
    </dxf>
    <dxf>
      <fill>
        <patternFill>
          <bgColor rgb="FFFF0000"/>
        </patternFill>
      </fill>
    </dxf>
    <dxf>
      <fill>
        <patternFill>
          <bgColor rgb="FFFF0000"/>
        </patternFill>
      </fill>
    </dxf>
    <dxf>
      <fill>
        <patternFill>
          <bgColor theme="9"/>
        </patternFill>
      </fill>
    </dxf>
    <dxf>
      <fill>
        <patternFill>
          <bgColor rgb="FFFF0000"/>
        </patternFill>
      </fill>
    </dxf>
    <dxf>
      <fill>
        <patternFill>
          <bgColor rgb="FFFF0000"/>
        </patternFill>
      </fill>
    </dxf>
    <dxf>
      <fill>
        <patternFill>
          <bgColor rgb="FF39A9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104775</xdr:colOff>
      <xdr:row>0</xdr:row>
      <xdr:rowOff>66675</xdr:rowOff>
    </xdr:from>
    <xdr:to>
      <xdr:col>18</xdr:col>
      <xdr:colOff>304800</xdr:colOff>
      <xdr:row>5</xdr:row>
      <xdr:rowOff>66675</xdr:rowOff>
    </xdr:to>
    <xdr:pic>
      <xdr:nvPicPr>
        <xdr:cNvPr id="20670" name="Imagen 1" descr="Forma&#10;&#10;Descripción generada automáticamente con confianza media">
          <a:extLst>
            <a:ext uri="{FF2B5EF4-FFF2-40B4-BE49-F238E27FC236}">
              <a16:creationId xmlns:a16="http://schemas.microsoft.com/office/drawing/2014/main" id="{4CB17859-271E-4F60-AB9C-68E1EA8F56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89565" t="4330" r="4407" b="85594"/>
        <a:stretch>
          <a:fillRect/>
        </a:stretch>
      </xdr:blipFill>
      <xdr:spPr bwMode="auto">
        <a:xfrm>
          <a:off x="4905375" y="66675"/>
          <a:ext cx="1571625" cy="1238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238125</xdr:colOff>
      <xdr:row>33</xdr:row>
      <xdr:rowOff>76200</xdr:rowOff>
    </xdr:from>
    <xdr:to>
      <xdr:col>9</xdr:col>
      <xdr:colOff>38100</xdr:colOff>
      <xdr:row>41</xdr:row>
      <xdr:rowOff>152400</xdr:rowOff>
    </xdr:to>
    <xdr:pic>
      <xdr:nvPicPr>
        <xdr:cNvPr id="20671" name="Imagen 2">
          <a:extLst>
            <a:ext uri="{FF2B5EF4-FFF2-40B4-BE49-F238E27FC236}">
              <a16:creationId xmlns:a16="http://schemas.microsoft.com/office/drawing/2014/main" id="{0D0FD98B-AC27-438A-A9E1-6E87910BBF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1025" y="12887325"/>
          <a:ext cx="2543175" cy="211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1811</xdr:colOff>
      <xdr:row>29</xdr:row>
      <xdr:rowOff>96871</xdr:rowOff>
    </xdr:from>
    <xdr:to>
      <xdr:col>41</xdr:col>
      <xdr:colOff>302674</xdr:colOff>
      <xdr:row>40</xdr:row>
      <xdr:rowOff>158528</xdr:rowOff>
    </xdr:to>
    <xdr:sp macro="" textlink="">
      <xdr:nvSpPr>
        <xdr:cNvPr id="4" name="Bocadillo: ovalado 3">
          <a:extLst>
            <a:ext uri="{FF2B5EF4-FFF2-40B4-BE49-F238E27FC236}">
              <a16:creationId xmlns:a16="http://schemas.microsoft.com/office/drawing/2014/main" id="{323A814B-552E-4515-BC4F-89A0F52872CC}"/>
            </a:ext>
          </a:extLst>
        </xdr:cNvPr>
        <xdr:cNvSpPr/>
      </xdr:nvSpPr>
      <xdr:spPr>
        <a:xfrm>
          <a:off x="2805336" y="6738054"/>
          <a:ext cx="10212164" cy="2945945"/>
        </a:xfrm>
        <a:prstGeom prst="wedgeEllipseCallout">
          <a:avLst>
            <a:gd name="adj1" fmla="val -20594"/>
            <a:gd name="adj2" fmla="val 55758"/>
          </a:avLst>
        </a:prstGeom>
        <a:noFill/>
        <a:ln>
          <a:solidFill>
            <a:srgbClr val="39A1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13</xdr:col>
      <xdr:colOff>310814</xdr:colOff>
      <xdr:row>31</xdr:row>
      <xdr:rowOff>115520</xdr:rowOff>
    </xdr:from>
    <xdr:to>
      <xdr:col>37</xdr:col>
      <xdr:colOff>70349</xdr:colOff>
      <xdr:row>35</xdr:row>
      <xdr:rowOff>214942</xdr:rowOff>
    </xdr:to>
    <xdr:sp macro="" textlink="">
      <xdr:nvSpPr>
        <xdr:cNvPr id="5" name="Cuadro de texto 2">
          <a:extLst>
            <a:ext uri="{FF2B5EF4-FFF2-40B4-BE49-F238E27FC236}">
              <a16:creationId xmlns:a16="http://schemas.microsoft.com/office/drawing/2014/main" id="{EF44198E-629C-4009-927A-3931816DFAE7}"/>
            </a:ext>
          </a:extLst>
        </xdr:cNvPr>
        <xdr:cNvSpPr txBox="1"/>
      </xdr:nvSpPr>
      <xdr:spPr>
        <a:xfrm>
          <a:off x="4293887" y="7270559"/>
          <a:ext cx="7277476" cy="1154905"/>
        </a:xfrm>
        <a:prstGeom prst="rect">
          <a:avLst/>
        </a:prstGeom>
        <a:solidFill>
          <a:schemeClr val="lt1"/>
        </a:solidFill>
        <a:ln w="6350">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nSpc>
              <a:spcPts val="2000"/>
            </a:lnSpc>
          </a:pPr>
          <a:r>
            <a:rPr lang="es-CO" sz="1800">
              <a:solidFill>
                <a:schemeClr val="accent1">
                  <a:lumMod val="50000"/>
                </a:schemeClr>
              </a:solidFill>
              <a:effectLst/>
              <a:latin typeface="Century Gothic" panose="020B0502020202020204" pitchFamily="34" charset="0"/>
              <a:ea typeface="+mn-ea"/>
              <a:cs typeface="+mn-cs"/>
            </a:rPr>
            <a:t>Usted podrá exponer</a:t>
          </a:r>
          <a:r>
            <a:rPr lang="es-CO" sz="1800" baseline="0">
              <a:solidFill>
                <a:schemeClr val="accent1">
                  <a:lumMod val="50000"/>
                </a:schemeClr>
              </a:solidFill>
              <a:effectLst/>
              <a:latin typeface="Century Gothic" panose="020B0502020202020204" pitchFamily="34" charset="0"/>
              <a:ea typeface="+mn-ea"/>
              <a:cs typeface="+mn-cs"/>
            </a:rPr>
            <a:t> acá su proyecto</a:t>
          </a:r>
          <a:endParaRPr lang="es-CO" sz="2800">
            <a:solidFill>
              <a:schemeClr val="accent1">
                <a:lumMod val="50000"/>
              </a:schemeClr>
            </a:solidFill>
            <a:effectLst/>
            <a:latin typeface="Century Gothic" panose="020B0502020202020204" pitchFamily="34" charset="0"/>
          </a:endParaRPr>
        </a:p>
        <a:p>
          <a:pPr>
            <a:lnSpc>
              <a:spcPts val="2000"/>
            </a:lnSpc>
          </a:pPr>
          <a:r>
            <a:rPr lang="es-CO" sz="1800">
              <a:solidFill>
                <a:schemeClr val="accent1">
                  <a:lumMod val="50000"/>
                </a:schemeClr>
              </a:solidFill>
              <a:effectLst/>
              <a:latin typeface="Century Gothic" panose="020B0502020202020204" pitchFamily="34" charset="0"/>
              <a:ea typeface="+mn-ea"/>
              <a:cs typeface="+mn-cs"/>
            </a:rPr>
            <a:t>Siga</a:t>
          </a:r>
          <a:r>
            <a:rPr lang="es-CO" sz="1800" baseline="0">
              <a:solidFill>
                <a:schemeClr val="accent1">
                  <a:lumMod val="50000"/>
                </a:schemeClr>
              </a:solidFill>
              <a:effectLst/>
              <a:latin typeface="Century Gothic" panose="020B0502020202020204" pitchFamily="34" charset="0"/>
              <a:ea typeface="+mn-ea"/>
              <a:cs typeface="+mn-cs"/>
            </a:rPr>
            <a:t> </a:t>
          </a:r>
          <a:r>
            <a:rPr lang="es-CO" sz="1800">
              <a:solidFill>
                <a:schemeClr val="accent1">
                  <a:lumMod val="50000"/>
                </a:schemeClr>
              </a:solidFill>
              <a:effectLst/>
              <a:latin typeface="Century Gothic" panose="020B0502020202020204" pitchFamily="34" charset="0"/>
              <a:ea typeface="+mn-ea"/>
              <a:cs typeface="+mn-cs"/>
            </a:rPr>
            <a:t>atentamente las indicaciones en cada elemento.</a:t>
          </a:r>
          <a:r>
            <a:rPr lang="es-CO" sz="1800" baseline="0">
              <a:solidFill>
                <a:schemeClr val="accent1">
                  <a:lumMod val="50000"/>
                </a:schemeClr>
              </a:solidFill>
              <a:effectLst/>
              <a:latin typeface="Century Gothic" panose="020B0502020202020204" pitchFamily="34" charset="0"/>
              <a:ea typeface="+mn-ea"/>
              <a:cs typeface="+mn-cs"/>
            </a:rPr>
            <a:t> </a:t>
          </a:r>
          <a:r>
            <a:rPr lang="es-CO" sz="1800" b="1" u="sng" baseline="0">
              <a:solidFill>
                <a:schemeClr val="accent1">
                  <a:lumMod val="50000"/>
                </a:schemeClr>
              </a:solidFill>
              <a:effectLst/>
              <a:latin typeface="Century Gothic" panose="020B0502020202020204" pitchFamily="34" charset="0"/>
              <a:ea typeface="+mn-ea"/>
              <a:cs typeface="+mn-cs"/>
            </a:rPr>
            <a:t>DILIGENCIE ÚNICAMENTE LAS CELDAS SOMBREADAS EN GRIS.</a:t>
          </a:r>
        </a:p>
        <a:p>
          <a:pPr>
            <a:lnSpc>
              <a:spcPts val="1700"/>
            </a:lnSpc>
          </a:pPr>
          <a:r>
            <a:rPr lang="es-CO" sz="1800" b="1" u="sng" baseline="0">
              <a:solidFill>
                <a:schemeClr val="accent1">
                  <a:lumMod val="50000"/>
                </a:schemeClr>
              </a:solidFill>
              <a:effectLst/>
              <a:latin typeface="Century Gothic" panose="020B0502020202020204" pitchFamily="34" charset="0"/>
              <a:ea typeface="+mn-ea"/>
              <a:cs typeface="+mn-cs"/>
            </a:rPr>
            <a:t>Solo se considerará la información que se pueda visualizar en cada celda, SER CONCRETOS CON LA INFORMACIÓN.</a:t>
          </a:r>
          <a:endParaRPr lang="es-CO" sz="2800" b="1" u="sng">
            <a:solidFill>
              <a:schemeClr val="accent1">
                <a:lumMod val="50000"/>
              </a:schemeClr>
            </a:solidFill>
            <a:effectLst/>
            <a:latin typeface="Century Gothic" panose="020B0502020202020204" pitchFamily="34" charset="0"/>
          </a:endParaRPr>
        </a:p>
      </xdr:txBody>
    </xdr:sp>
    <xdr:clientData/>
  </xdr:twoCellAnchor>
  <xdr:twoCellAnchor>
    <xdr:from>
      <xdr:col>36</xdr:col>
      <xdr:colOff>68042</xdr:colOff>
      <xdr:row>54</xdr:row>
      <xdr:rowOff>436336</xdr:rowOff>
    </xdr:from>
    <xdr:to>
      <xdr:col>44</xdr:col>
      <xdr:colOff>68011</xdr:colOff>
      <xdr:row>59</xdr:row>
      <xdr:rowOff>219965</xdr:rowOff>
    </xdr:to>
    <xdr:sp macro="" textlink="">
      <xdr:nvSpPr>
        <xdr:cNvPr id="6" name="Bocadillo: ovalado 5">
          <a:extLst>
            <a:ext uri="{FF2B5EF4-FFF2-40B4-BE49-F238E27FC236}">
              <a16:creationId xmlns:a16="http://schemas.microsoft.com/office/drawing/2014/main" id="{83251E3D-E8FC-49C0-BC08-5E3C360F62BF}"/>
            </a:ext>
          </a:extLst>
        </xdr:cNvPr>
        <xdr:cNvSpPr/>
      </xdr:nvSpPr>
      <xdr:spPr>
        <a:xfrm>
          <a:off x="10835374" y="20955000"/>
          <a:ext cx="2404375" cy="2170735"/>
        </a:xfrm>
        <a:prstGeom prst="wedgeEllipseCallout">
          <a:avLst/>
        </a:prstGeom>
        <a:noFill/>
        <a:ln>
          <a:solidFill>
            <a:srgbClr val="39A1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37</xdr:col>
      <xdr:colOff>196115</xdr:colOff>
      <xdr:row>55</xdr:row>
      <xdr:rowOff>86483</xdr:rowOff>
    </xdr:from>
    <xdr:to>
      <xdr:col>42</xdr:col>
      <xdr:colOff>233458</xdr:colOff>
      <xdr:row>57</xdr:row>
      <xdr:rowOff>48831</xdr:rowOff>
    </xdr:to>
    <xdr:sp macro="" textlink="">
      <xdr:nvSpPr>
        <xdr:cNvPr id="7" name="Cuadro de texto 2">
          <a:extLst>
            <a:ext uri="{FF2B5EF4-FFF2-40B4-BE49-F238E27FC236}">
              <a16:creationId xmlns:a16="http://schemas.microsoft.com/office/drawing/2014/main" id="{60F7EF06-BB87-49B2-83F7-2E1C7DA4DA0B}"/>
            </a:ext>
          </a:extLst>
        </xdr:cNvPr>
        <xdr:cNvSpPr txBox="1"/>
      </xdr:nvSpPr>
      <xdr:spPr>
        <a:xfrm>
          <a:off x="11259629" y="21192069"/>
          <a:ext cx="1527760" cy="487697"/>
        </a:xfrm>
        <a:prstGeom prst="rect">
          <a:avLst/>
        </a:prstGeom>
        <a:solidFill>
          <a:schemeClr val="lt1"/>
        </a:solidFill>
        <a:ln w="6350">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15000"/>
            </a:lnSpc>
            <a:spcAft>
              <a:spcPts val="800"/>
            </a:spcAft>
          </a:pPr>
          <a:r>
            <a:rPr lang="es-CO" sz="1400" b="0">
              <a:effectLst/>
              <a:latin typeface="Century Gothic" panose="020B0502020202020204" pitchFamily="34" charset="0"/>
              <a:ea typeface="+mn-ea"/>
              <a:cs typeface="+mn-cs"/>
            </a:rPr>
            <a:t>El cliente</a:t>
          </a:r>
          <a:r>
            <a:rPr lang="es-CO" sz="1400" b="0" baseline="0">
              <a:effectLst/>
              <a:latin typeface="Century Gothic" panose="020B0502020202020204" pitchFamily="34" charset="0"/>
              <a:ea typeface="+mn-ea"/>
              <a:cs typeface="+mn-cs"/>
            </a:rPr>
            <a:t> es el que paga por el producto y puede ser diferente al que lo consume</a:t>
          </a:r>
          <a:endParaRPr lang="es-CO" sz="1400" kern="100">
            <a:effectLst/>
            <a:latin typeface="Century Gothic" panose="020B0502020202020204" pitchFamily="34" charset="0"/>
            <a:ea typeface="Aptos" panose="020B0004020202020204" pitchFamily="34" charset="0"/>
            <a:cs typeface="Times New Roman" panose="02020603050405020304" pitchFamily="18" charset="0"/>
          </a:endParaRPr>
        </a:p>
      </xdr:txBody>
    </xdr:sp>
    <xdr:clientData/>
  </xdr:twoCellAnchor>
  <xdr:twoCellAnchor editAs="oneCell">
    <xdr:from>
      <xdr:col>35</xdr:col>
      <xdr:colOff>333375</xdr:colOff>
      <xdr:row>60</xdr:row>
      <xdr:rowOff>47625</xdr:rowOff>
    </xdr:from>
    <xdr:to>
      <xdr:col>40</xdr:col>
      <xdr:colOff>304800</xdr:colOff>
      <xdr:row>62</xdr:row>
      <xdr:rowOff>523875</xdr:rowOff>
    </xdr:to>
    <xdr:pic>
      <xdr:nvPicPr>
        <xdr:cNvPr id="20676" name="Imagen 7">
          <a:extLst>
            <a:ext uri="{FF2B5EF4-FFF2-40B4-BE49-F238E27FC236}">
              <a16:creationId xmlns:a16="http://schemas.microsoft.com/office/drawing/2014/main" id="{946847F0-8AB0-44A6-8463-45774055379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4875" y="22698075"/>
          <a:ext cx="168592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36</xdr:col>
      <xdr:colOff>148966</xdr:colOff>
      <xdr:row>74</xdr:row>
      <xdr:rowOff>381000</xdr:rowOff>
    </xdr:from>
    <xdr:to>
      <xdr:col>44</xdr:col>
      <xdr:colOff>34502</xdr:colOff>
      <xdr:row>81</xdr:row>
      <xdr:rowOff>212247</xdr:rowOff>
    </xdr:to>
    <xdr:sp macro="" textlink="">
      <xdr:nvSpPr>
        <xdr:cNvPr id="9" name="Bocadillo: ovalado 8">
          <a:extLst>
            <a:ext uri="{FF2B5EF4-FFF2-40B4-BE49-F238E27FC236}">
              <a16:creationId xmlns:a16="http://schemas.microsoft.com/office/drawing/2014/main" id="{69EE2237-7135-4B3C-B968-AD6C6CC91E49}"/>
            </a:ext>
          </a:extLst>
        </xdr:cNvPr>
        <xdr:cNvSpPr/>
      </xdr:nvSpPr>
      <xdr:spPr>
        <a:xfrm>
          <a:off x="10920108" y="27989893"/>
          <a:ext cx="2292428" cy="1808365"/>
        </a:xfrm>
        <a:prstGeom prst="wedgeEllipseCallout">
          <a:avLst/>
        </a:prstGeom>
        <a:noFill/>
        <a:ln>
          <a:solidFill>
            <a:srgbClr val="39A1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38</xdr:col>
      <xdr:colOff>54428</xdr:colOff>
      <xdr:row>75</xdr:row>
      <xdr:rowOff>80700</xdr:rowOff>
    </xdr:from>
    <xdr:to>
      <xdr:col>42</xdr:col>
      <xdr:colOff>161331</xdr:colOff>
      <xdr:row>77</xdr:row>
      <xdr:rowOff>13637</xdr:rowOff>
    </xdr:to>
    <xdr:sp macro="" textlink="">
      <xdr:nvSpPr>
        <xdr:cNvPr id="10" name="Cuadro de texto 2">
          <a:extLst>
            <a:ext uri="{FF2B5EF4-FFF2-40B4-BE49-F238E27FC236}">
              <a16:creationId xmlns:a16="http://schemas.microsoft.com/office/drawing/2014/main" id="{3DBE243C-3261-4154-B2E6-48EB7E1DF25D}"/>
            </a:ext>
          </a:extLst>
        </xdr:cNvPr>
        <xdr:cNvSpPr txBox="1"/>
      </xdr:nvSpPr>
      <xdr:spPr>
        <a:xfrm>
          <a:off x="11782969" y="36410955"/>
          <a:ext cx="1329781" cy="456847"/>
        </a:xfrm>
        <a:prstGeom prst="rect">
          <a:avLst/>
        </a:prstGeom>
        <a:solidFill>
          <a:schemeClr val="lt1"/>
        </a:solidFill>
        <a:ln w="6350">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15000"/>
            </a:lnSpc>
            <a:spcAft>
              <a:spcPts val="800"/>
            </a:spcAft>
          </a:pPr>
          <a:r>
            <a:rPr lang="es-CO" sz="1450" b="0">
              <a:effectLst/>
              <a:latin typeface="Century Gothic" panose="020B0502020202020204" pitchFamily="34" charset="0"/>
              <a:ea typeface="+mn-ea"/>
              <a:cs typeface="+mn-cs"/>
            </a:rPr>
            <a:t>¿Porqué</a:t>
          </a:r>
          <a:r>
            <a:rPr lang="es-CO" sz="1450" b="0" baseline="0">
              <a:effectLst/>
              <a:latin typeface="Century Gothic" panose="020B0502020202020204" pitchFamily="34" charset="0"/>
              <a:ea typeface="+mn-ea"/>
              <a:cs typeface="+mn-cs"/>
            </a:rPr>
            <a:t> y cómo seleccionó este proyecto?</a:t>
          </a:r>
          <a:endParaRPr lang="es-CO" sz="1450" kern="100">
            <a:effectLst/>
            <a:latin typeface="Century Gothic" panose="020B0502020202020204" pitchFamily="34" charset="0"/>
            <a:ea typeface="Aptos" panose="020B0004020202020204" pitchFamily="34" charset="0"/>
            <a:cs typeface="Times New Roman" panose="02020603050405020304" pitchFamily="18" charset="0"/>
          </a:endParaRPr>
        </a:p>
      </xdr:txBody>
    </xdr:sp>
    <xdr:clientData/>
  </xdr:twoCellAnchor>
  <xdr:twoCellAnchor editAs="oneCell">
    <xdr:from>
      <xdr:col>35</xdr:col>
      <xdr:colOff>295275</xdr:colOff>
      <xdr:row>82</xdr:row>
      <xdr:rowOff>38100</xdr:rowOff>
    </xdr:from>
    <xdr:to>
      <xdr:col>40</xdr:col>
      <xdr:colOff>304800</xdr:colOff>
      <xdr:row>86</xdr:row>
      <xdr:rowOff>466725</xdr:rowOff>
    </xdr:to>
    <xdr:pic>
      <xdr:nvPicPr>
        <xdr:cNvPr id="20679" name="Imagen 10">
          <a:extLst>
            <a:ext uri="{FF2B5EF4-FFF2-40B4-BE49-F238E27FC236}">
              <a16:creationId xmlns:a16="http://schemas.microsoft.com/office/drawing/2014/main" id="{53959E5D-5971-4784-9117-C44AA0E64ED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296775" y="37280850"/>
          <a:ext cx="1724025" cy="1419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238125</xdr:colOff>
      <xdr:row>105</xdr:row>
      <xdr:rowOff>276225</xdr:rowOff>
    </xdr:from>
    <xdr:to>
      <xdr:col>42</xdr:col>
      <xdr:colOff>66675</xdr:colOff>
      <xdr:row>107</xdr:row>
      <xdr:rowOff>104775</xdr:rowOff>
    </xdr:to>
    <xdr:pic>
      <xdr:nvPicPr>
        <xdr:cNvPr id="20680" name="Imagen 13">
          <a:extLst>
            <a:ext uri="{FF2B5EF4-FFF2-40B4-BE49-F238E27FC236}">
              <a16:creationId xmlns:a16="http://schemas.microsoft.com/office/drawing/2014/main" id="{78DBF906-DB96-4B31-8758-326CEAD1191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3268325" y="50492025"/>
          <a:ext cx="120015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37</xdr:col>
      <xdr:colOff>70666</xdr:colOff>
      <xdr:row>111</xdr:row>
      <xdr:rowOff>113846</xdr:rowOff>
    </xdr:from>
    <xdr:to>
      <xdr:col>44</xdr:col>
      <xdr:colOff>68463</xdr:colOff>
      <xdr:row>116</xdr:row>
      <xdr:rowOff>1423</xdr:rowOff>
    </xdr:to>
    <xdr:sp macro="" textlink="">
      <xdr:nvSpPr>
        <xdr:cNvPr id="15" name="Bocadillo: ovalado 14">
          <a:extLst>
            <a:ext uri="{FF2B5EF4-FFF2-40B4-BE49-F238E27FC236}">
              <a16:creationId xmlns:a16="http://schemas.microsoft.com/office/drawing/2014/main" id="{8744CCE3-7BE3-4200-8FF3-23B500101CBC}"/>
            </a:ext>
          </a:extLst>
        </xdr:cNvPr>
        <xdr:cNvSpPr/>
      </xdr:nvSpPr>
      <xdr:spPr>
        <a:xfrm>
          <a:off x="11159580" y="53689250"/>
          <a:ext cx="2080548" cy="1917275"/>
        </a:xfrm>
        <a:prstGeom prst="wedgeEllipseCallout">
          <a:avLst/>
        </a:prstGeom>
        <a:noFill/>
        <a:ln>
          <a:solidFill>
            <a:srgbClr val="39A1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39</xdr:col>
      <xdr:colOff>14146</xdr:colOff>
      <xdr:row>112</xdr:row>
      <xdr:rowOff>147183</xdr:rowOff>
    </xdr:from>
    <xdr:to>
      <xdr:col>43</xdr:col>
      <xdr:colOff>69819</xdr:colOff>
      <xdr:row>115</xdr:row>
      <xdr:rowOff>37276</xdr:rowOff>
    </xdr:to>
    <xdr:sp macro="" textlink="">
      <xdr:nvSpPr>
        <xdr:cNvPr id="16" name="Cuadro de texto 2">
          <a:extLst>
            <a:ext uri="{FF2B5EF4-FFF2-40B4-BE49-F238E27FC236}">
              <a16:creationId xmlns:a16="http://schemas.microsoft.com/office/drawing/2014/main" id="{3DBD886E-D7E8-4509-932B-472009042588}"/>
            </a:ext>
          </a:extLst>
        </xdr:cNvPr>
        <xdr:cNvSpPr txBox="1"/>
      </xdr:nvSpPr>
      <xdr:spPr>
        <a:xfrm>
          <a:off x="11679550" y="53967515"/>
          <a:ext cx="1256276" cy="926420"/>
        </a:xfrm>
        <a:prstGeom prst="rect">
          <a:avLst/>
        </a:prstGeom>
        <a:solidFill>
          <a:schemeClr val="lt1"/>
        </a:solidFill>
        <a:ln w="6350">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15000"/>
            </a:lnSpc>
            <a:spcAft>
              <a:spcPts val="800"/>
            </a:spcAft>
          </a:pPr>
          <a:r>
            <a:rPr lang="es-CO" sz="900" b="0" kern="0">
              <a:effectLst/>
              <a:latin typeface="Century Gothic" panose="020B0502020202020204" pitchFamily="34" charset="0"/>
              <a:ea typeface="+mn-ea"/>
              <a:cs typeface="+mn-cs"/>
            </a:rPr>
            <a:t>Por ejemplo: Producto:</a:t>
          </a:r>
          <a:r>
            <a:rPr lang="es-CO" sz="900" b="0" kern="0" baseline="0">
              <a:effectLst/>
              <a:latin typeface="Century Gothic" panose="020B0502020202020204" pitchFamily="34" charset="0"/>
              <a:ea typeface="+mn-ea"/>
              <a:cs typeface="+mn-cs"/>
            </a:rPr>
            <a:t> Huevo AAA Descripción: Huevo AAA de gallina feliz Unidad medida: Huevo por unidad Cliente: Bandeja x 30 huevos</a:t>
          </a:r>
          <a:endParaRPr lang="es-CO" sz="900" kern="100">
            <a:effectLst/>
            <a:latin typeface="Century Gothic" panose="020B0502020202020204" pitchFamily="34" charset="0"/>
            <a:ea typeface="Aptos" panose="020B0004020202020204" pitchFamily="34" charset="0"/>
            <a:cs typeface="Times New Roman" panose="02020603050405020304" pitchFamily="18" charset="0"/>
          </a:endParaRPr>
        </a:p>
      </xdr:txBody>
    </xdr:sp>
    <xdr:clientData/>
  </xdr:twoCellAnchor>
  <xdr:twoCellAnchor editAs="oneCell">
    <xdr:from>
      <xdr:col>38</xdr:col>
      <xdr:colOff>266700</xdr:colOff>
      <xdr:row>304</xdr:row>
      <xdr:rowOff>504825</xdr:rowOff>
    </xdr:from>
    <xdr:to>
      <xdr:col>44</xdr:col>
      <xdr:colOff>304800</xdr:colOff>
      <xdr:row>309</xdr:row>
      <xdr:rowOff>66675</xdr:rowOff>
    </xdr:to>
    <xdr:pic>
      <xdr:nvPicPr>
        <xdr:cNvPr id="20683" name="Imagen 18">
          <a:extLst>
            <a:ext uri="{FF2B5EF4-FFF2-40B4-BE49-F238E27FC236}">
              <a16:creationId xmlns:a16="http://schemas.microsoft.com/office/drawing/2014/main" id="{000143E0-7660-427A-9600-CAB7478BF7A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296900" y="152676225"/>
          <a:ext cx="2095500" cy="1914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40</xdr:col>
      <xdr:colOff>14379</xdr:colOff>
      <xdr:row>453</xdr:row>
      <xdr:rowOff>219075</xdr:rowOff>
    </xdr:from>
    <xdr:to>
      <xdr:col>45</xdr:col>
      <xdr:colOff>54000</xdr:colOff>
      <xdr:row>459</xdr:row>
      <xdr:rowOff>462989</xdr:rowOff>
    </xdr:to>
    <xdr:sp macro="" textlink="">
      <xdr:nvSpPr>
        <xdr:cNvPr id="21" name="Bocadillo: ovalado 20">
          <a:extLst>
            <a:ext uri="{FF2B5EF4-FFF2-40B4-BE49-F238E27FC236}">
              <a16:creationId xmlns:a16="http://schemas.microsoft.com/office/drawing/2014/main" id="{EC5619EE-9B07-4673-A21E-E71B02BC07FA}"/>
            </a:ext>
          </a:extLst>
        </xdr:cNvPr>
        <xdr:cNvSpPr/>
      </xdr:nvSpPr>
      <xdr:spPr>
        <a:xfrm>
          <a:off x="12345172" y="232392311"/>
          <a:ext cx="1597614" cy="2386103"/>
        </a:xfrm>
        <a:prstGeom prst="wedgeEllipseCallout">
          <a:avLst/>
        </a:prstGeom>
        <a:noFill/>
        <a:ln>
          <a:solidFill>
            <a:srgbClr val="39A1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40</xdr:col>
      <xdr:colOff>302602</xdr:colOff>
      <xdr:row>454</xdr:row>
      <xdr:rowOff>207621</xdr:rowOff>
    </xdr:from>
    <xdr:to>
      <xdr:col>44</xdr:col>
      <xdr:colOff>107631</xdr:colOff>
      <xdr:row>457</xdr:row>
      <xdr:rowOff>16716</xdr:rowOff>
    </xdr:to>
    <xdr:sp macro="" textlink="">
      <xdr:nvSpPr>
        <xdr:cNvPr id="22" name="Cuadro de texto 2">
          <a:extLst>
            <a:ext uri="{FF2B5EF4-FFF2-40B4-BE49-F238E27FC236}">
              <a16:creationId xmlns:a16="http://schemas.microsoft.com/office/drawing/2014/main" id="{C556A040-F315-45EB-AD8D-49AFE10D3D45}"/>
            </a:ext>
          </a:extLst>
        </xdr:cNvPr>
        <xdr:cNvSpPr txBox="1"/>
      </xdr:nvSpPr>
      <xdr:spPr>
        <a:xfrm>
          <a:off x="12627045" y="232684750"/>
          <a:ext cx="1064199" cy="548776"/>
        </a:xfrm>
        <a:prstGeom prst="rect">
          <a:avLst/>
        </a:prstGeom>
        <a:solidFill>
          <a:schemeClr val="lt1"/>
        </a:solidFill>
        <a:ln w="6350">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15000"/>
            </a:lnSpc>
            <a:spcAft>
              <a:spcPts val="800"/>
            </a:spcAft>
          </a:pPr>
          <a:r>
            <a:rPr lang="es-CO" sz="1450" b="0">
              <a:effectLst/>
              <a:latin typeface="Century Gothic" panose="020B0502020202020204" pitchFamily="34" charset="0"/>
              <a:ea typeface="+mn-ea"/>
              <a:cs typeface="+mn-cs"/>
            </a:rPr>
            <a:t>Mija, acá debemos</a:t>
          </a:r>
          <a:r>
            <a:rPr lang="es-CO" sz="1450" b="0" baseline="0">
              <a:effectLst/>
              <a:latin typeface="Century Gothic" panose="020B0502020202020204" pitchFamily="34" charset="0"/>
              <a:ea typeface="+mn-ea"/>
              <a:cs typeface="+mn-cs"/>
            </a:rPr>
            <a:t> hablar de estos años de trabajo</a:t>
          </a:r>
          <a:endParaRPr lang="es-CO" sz="1450" kern="100">
            <a:effectLst/>
            <a:latin typeface="Century Gothic" panose="020B0502020202020204" pitchFamily="34" charset="0"/>
            <a:ea typeface="Aptos" panose="020B0004020202020204" pitchFamily="34" charset="0"/>
            <a:cs typeface="Times New Roman" panose="02020603050405020304" pitchFamily="18" charset="0"/>
          </a:endParaRPr>
        </a:p>
      </xdr:txBody>
    </xdr:sp>
    <xdr:clientData/>
  </xdr:twoCellAnchor>
  <xdr:twoCellAnchor editAs="oneCell">
    <xdr:from>
      <xdr:col>40</xdr:col>
      <xdr:colOff>28575</xdr:colOff>
      <xdr:row>460</xdr:row>
      <xdr:rowOff>9525</xdr:rowOff>
    </xdr:from>
    <xdr:to>
      <xdr:col>44</xdr:col>
      <xdr:colOff>295275</xdr:colOff>
      <xdr:row>461</xdr:row>
      <xdr:rowOff>647700</xdr:rowOff>
    </xdr:to>
    <xdr:pic>
      <xdr:nvPicPr>
        <xdr:cNvPr id="20686" name="Imagen 22">
          <a:extLst>
            <a:ext uri="{FF2B5EF4-FFF2-40B4-BE49-F238E27FC236}">
              <a16:creationId xmlns:a16="http://schemas.microsoft.com/office/drawing/2014/main" id="{AEC90A6B-8B12-4603-9ED3-CA77CD1774F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744575" y="233448225"/>
          <a:ext cx="1638300" cy="145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190500</xdr:colOff>
      <xdr:row>0</xdr:row>
      <xdr:rowOff>0</xdr:rowOff>
    </xdr:from>
    <xdr:to>
      <xdr:col>35</xdr:col>
      <xdr:colOff>114300</xdr:colOff>
      <xdr:row>6</xdr:row>
      <xdr:rowOff>28575</xdr:rowOff>
    </xdr:to>
    <xdr:pic>
      <xdr:nvPicPr>
        <xdr:cNvPr id="20687" name="Imagen 25">
          <a:extLst>
            <a:ext uri="{FF2B5EF4-FFF2-40B4-BE49-F238E27FC236}">
              <a16:creationId xmlns:a16="http://schemas.microsoft.com/office/drawing/2014/main" id="{E65196B3-3FDD-4D60-AC1B-DE164BED3F4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676900" y="0"/>
          <a:ext cx="6438900" cy="1514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37</xdr:col>
      <xdr:colOff>161925</xdr:colOff>
      <xdr:row>116</xdr:row>
      <xdr:rowOff>333375</xdr:rowOff>
    </xdr:from>
    <xdr:to>
      <xdr:col>41</xdr:col>
      <xdr:colOff>161925</xdr:colOff>
      <xdr:row>118</xdr:row>
      <xdr:rowOff>9525</xdr:rowOff>
    </xdr:to>
    <xdr:pic>
      <xdr:nvPicPr>
        <xdr:cNvPr id="20688" name="Imagen 29">
          <a:extLst>
            <a:ext uri="{FF2B5EF4-FFF2-40B4-BE49-F238E27FC236}">
              <a16:creationId xmlns:a16="http://schemas.microsoft.com/office/drawing/2014/main" id="{6CBE48B4-A7C5-45A0-AC41-55EEF03154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849225" y="55197375"/>
          <a:ext cx="1371600" cy="116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33</xdr:col>
      <xdr:colOff>123825</xdr:colOff>
      <xdr:row>172</xdr:row>
      <xdr:rowOff>152400</xdr:rowOff>
    </xdr:from>
    <xdr:to>
      <xdr:col>39</xdr:col>
      <xdr:colOff>76200</xdr:colOff>
      <xdr:row>176</xdr:row>
      <xdr:rowOff>266700</xdr:rowOff>
    </xdr:to>
    <xdr:pic>
      <xdr:nvPicPr>
        <xdr:cNvPr id="20689" name="Imagen 30">
          <a:extLst>
            <a:ext uri="{FF2B5EF4-FFF2-40B4-BE49-F238E27FC236}">
              <a16:creationId xmlns:a16="http://schemas.microsoft.com/office/drawing/2014/main" id="{8C7125BA-3126-4EB6-B9B0-E7BFCCA8929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439525" y="87668100"/>
          <a:ext cx="2009775" cy="1676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37</xdr:col>
      <xdr:colOff>47172</xdr:colOff>
      <xdr:row>168</xdr:row>
      <xdr:rowOff>309427</xdr:rowOff>
    </xdr:from>
    <xdr:to>
      <xdr:col>43</xdr:col>
      <xdr:colOff>285047</xdr:colOff>
      <xdr:row>173</xdr:row>
      <xdr:rowOff>114300</xdr:rowOff>
    </xdr:to>
    <xdr:sp macro="" textlink="">
      <xdr:nvSpPr>
        <xdr:cNvPr id="32" name="Bocadillo: ovalado 31">
          <a:extLst>
            <a:ext uri="{FF2B5EF4-FFF2-40B4-BE49-F238E27FC236}">
              <a16:creationId xmlns:a16="http://schemas.microsoft.com/office/drawing/2014/main" id="{3C7B3770-FE31-4D49-95BE-441DD0D0604D}"/>
            </a:ext>
          </a:extLst>
        </xdr:cNvPr>
        <xdr:cNvSpPr/>
      </xdr:nvSpPr>
      <xdr:spPr>
        <a:xfrm>
          <a:off x="11484429" y="64806286"/>
          <a:ext cx="2022928" cy="1814285"/>
        </a:xfrm>
        <a:prstGeom prst="wedgeEllipseCallout">
          <a:avLst/>
        </a:prstGeom>
        <a:noFill/>
        <a:ln>
          <a:solidFill>
            <a:srgbClr val="39A1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38</xdr:col>
      <xdr:colOff>23579</xdr:colOff>
      <xdr:row>169</xdr:row>
      <xdr:rowOff>208960</xdr:rowOff>
    </xdr:from>
    <xdr:to>
      <xdr:col>42</xdr:col>
      <xdr:colOff>301517</xdr:colOff>
      <xdr:row>172</xdr:row>
      <xdr:rowOff>190493</xdr:rowOff>
    </xdr:to>
    <xdr:sp macro="" textlink="">
      <xdr:nvSpPr>
        <xdr:cNvPr id="34" name="Cuadro de texto 2">
          <a:extLst>
            <a:ext uri="{FF2B5EF4-FFF2-40B4-BE49-F238E27FC236}">
              <a16:creationId xmlns:a16="http://schemas.microsoft.com/office/drawing/2014/main" id="{EFDAB78C-33B6-43D0-94B5-C798C426262F}"/>
            </a:ext>
          </a:extLst>
        </xdr:cNvPr>
        <xdr:cNvSpPr txBox="1"/>
      </xdr:nvSpPr>
      <xdr:spPr>
        <a:xfrm>
          <a:off x="11742595" y="88345509"/>
          <a:ext cx="1501691" cy="1144134"/>
        </a:xfrm>
        <a:prstGeom prst="rect">
          <a:avLst/>
        </a:prstGeom>
        <a:solidFill>
          <a:schemeClr val="lt1"/>
        </a:solidFill>
        <a:ln w="6350">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nSpc>
              <a:spcPts val="1100"/>
            </a:lnSpc>
            <a:spcAft>
              <a:spcPts val="800"/>
            </a:spcAft>
          </a:pPr>
          <a:r>
            <a:rPr lang="es-CO" sz="1000" b="0" kern="0">
              <a:effectLst/>
              <a:latin typeface="Century Gothic" panose="020B0502020202020204" pitchFamily="34" charset="0"/>
              <a:ea typeface="+mn-ea"/>
              <a:cs typeface="+mn-cs"/>
            </a:rPr>
            <a:t>Es importante</a:t>
          </a:r>
          <a:r>
            <a:rPr lang="es-CO" sz="1000" b="0" kern="0" baseline="0">
              <a:effectLst/>
              <a:latin typeface="Century Gothic" panose="020B0502020202020204" pitchFamily="34" charset="0"/>
              <a:ea typeface="+mn-ea"/>
              <a:cs typeface="+mn-cs"/>
            </a:rPr>
            <a:t> conocer las obligaciones que se adquieren con cada forma de legalización</a:t>
          </a:r>
          <a:endParaRPr lang="es-CO" sz="1000" kern="100">
            <a:effectLst/>
            <a:latin typeface="Century Gothic" panose="020B0502020202020204" pitchFamily="34" charset="0"/>
            <a:ea typeface="Aptos" panose="020B0004020202020204" pitchFamily="34" charset="0"/>
            <a:cs typeface="Times New Roman" panose="02020603050405020304" pitchFamily="18" charset="0"/>
          </a:endParaRPr>
        </a:p>
      </xdr:txBody>
    </xdr:sp>
    <xdr:clientData/>
  </xdr:twoCellAnchor>
  <xdr:twoCellAnchor editAs="oneCell">
    <xdr:from>
      <xdr:col>30</xdr:col>
      <xdr:colOff>152400</xdr:colOff>
      <xdr:row>377</xdr:row>
      <xdr:rowOff>200025</xdr:rowOff>
    </xdr:from>
    <xdr:to>
      <xdr:col>35</xdr:col>
      <xdr:colOff>123825</xdr:colOff>
      <xdr:row>383</xdr:row>
      <xdr:rowOff>161925</xdr:rowOff>
    </xdr:to>
    <xdr:pic>
      <xdr:nvPicPr>
        <xdr:cNvPr id="20692" name="Imagen 36">
          <a:extLst>
            <a:ext uri="{FF2B5EF4-FFF2-40B4-BE49-F238E27FC236}">
              <a16:creationId xmlns:a16="http://schemas.microsoft.com/office/drawing/2014/main" id="{6B4E7C3B-AD10-4EF7-9C5E-95E9E665194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439400" y="183565800"/>
          <a:ext cx="1685925" cy="145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32</xdr:col>
      <xdr:colOff>77469</xdr:colOff>
      <xdr:row>370</xdr:row>
      <xdr:rowOff>306524</xdr:rowOff>
    </xdr:from>
    <xdr:to>
      <xdr:col>42</xdr:col>
      <xdr:colOff>9068</xdr:colOff>
      <xdr:row>378</xdr:row>
      <xdr:rowOff>31</xdr:rowOff>
    </xdr:to>
    <xdr:sp macro="" textlink="">
      <xdr:nvSpPr>
        <xdr:cNvPr id="38" name="Bocadillo: ovalado 37">
          <a:extLst>
            <a:ext uri="{FF2B5EF4-FFF2-40B4-BE49-F238E27FC236}">
              <a16:creationId xmlns:a16="http://schemas.microsoft.com/office/drawing/2014/main" id="{ADA4F68D-17CC-44D6-B302-9A7C3898B59A}"/>
            </a:ext>
          </a:extLst>
        </xdr:cNvPr>
        <xdr:cNvSpPr/>
      </xdr:nvSpPr>
      <xdr:spPr>
        <a:xfrm>
          <a:off x="9933213" y="183215643"/>
          <a:ext cx="3029858" cy="2032001"/>
        </a:xfrm>
        <a:prstGeom prst="wedgeEllipseCallout">
          <a:avLst/>
        </a:prstGeom>
        <a:noFill/>
        <a:ln>
          <a:solidFill>
            <a:srgbClr val="39A1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33</xdr:col>
      <xdr:colOff>309879</xdr:colOff>
      <xdr:row>371</xdr:row>
      <xdr:rowOff>326709</xdr:rowOff>
    </xdr:from>
    <xdr:to>
      <xdr:col>40</xdr:col>
      <xdr:colOff>185278</xdr:colOff>
      <xdr:row>376</xdr:row>
      <xdr:rowOff>36290</xdr:rowOff>
    </xdr:to>
    <xdr:sp macro="" textlink="">
      <xdr:nvSpPr>
        <xdr:cNvPr id="40" name="Cuadro de texto 2">
          <a:extLst>
            <a:ext uri="{FF2B5EF4-FFF2-40B4-BE49-F238E27FC236}">
              <a16:creationId xmlns:a16="http://schemas.microsoft.com/office/drawing/2014/main" id="{1DDD1D43-7E3A-4F18-B543-AB7E182B2F38}"/>
            </a:ext>
          </a:extLst>
        </xdr:cNvPr>
        <xdr:cNvSpPr txBox="1"/>
      </xdr:nvSpPr>
      <xdr:spPr>
        <a:xfrm>
          <a:off x="10432142" y="183613653"/>
          <a:ext cx="2059216" cy="1144134"/>
        </a:xfrm>
        <a:prstGeom prst="rect">
          <a:avLst/>
        </a:prstGeom>
        <a:solidFill>
          <a:schemeClr val="lt1"/>
        </a:solidFill>
        <a:ln w="6350">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15000"/>
            </a:lnSpc>
            <a:spcAft>
              <a:spcPts val="800"/>
            </a:spcAft>
          </a:pPr>
          <a:r>
            <a:rPr lang="es-CO" sz="1400" b="0" kern="0">
              <a:effectLst/>
              <a:latin typeface="Century Gothic" panose="020B0502020202020204" pitchFamily="34" charset="0"/>
              <a:ea typeface="+mn-ea"/>
              <a:cs typeface="+mn-cs"/>
            </a:rPr>
            <a:t>Dependiendo</a:t>
          </a:r>
          <a:r>
            <a:rPr lang="es-CO" sz="1400" b="0" kern="0" baseline="0">
              <a:effectLst/>
              <a:latin typeface="Century Gothic" panose="020B0502020202020204" pitchFamily="34" charset="0"/>
              <a:ea typeface="+mn-ea"/>
              <a:cs typeface="+mn-cs"/>
            </a:rPr>
            <a:t> el tipo de contratación del empleado seleccione </a:t>
          </a:r>
          <a:r>
            <a:rPr lang="es-CO" sz="1400" b="1" kern="0" baseline="0">
              <a:effectLst/>
              <a:latin typeface="Century Gothic" panose="020B0502020202020204" pitchFamily="34" charset="0"/>
              <a:ea typeface="+mn-ea"/>
              <a:cs typeface="+mn-cs"/>
            </a:rPr>
            <a:t>Si ó No </a:t>
          </a:r>
          <a:r>
            <a:rPr lang="es-CO" sz="1400" b="0" kern="0" baseline="0">
              <a:effectLst/>
              <a:latin typeface="Century Gothic" panose="020B0502020202020204" pitchFamily="34" charset="0"/>
              <a:ea typeface="+mn-ea"/>
              <a:cs typeface="+mn-cs"/>
            </a:rPr>
            <a:t>en el factor prestacional</a:t>
          </a:r>
        </a:p>
        <a:p>
          <a:pPr>
            <a:lnSpc>
              <a:spcPct val="115000"/>
            </a:lnSpc>
            <a:spcAft>
              <a:spcPts val="800"/>
            </a:spcAft>
          </a:pPr>
          <a:endParaRPr lang="es-CO" sz="1000" kern="100">
            <a:effectLst/>
            <a:latin typeface="Century Gothic" panose="020B0502020202020204" pitchFamily="34" charset="0"/>
            <a:ea typeface="Aptos" panose="020B0004020202020204" pitchFamily="34" charset="0"/>
            <a:cs typeface="Times New Roman" panose="02020603050405020304" pitchFamily="18" charset="0"/>
          </a:endParaRPr>
        </a:p>
      </xdr:txBody>
    </xdr:sp>
    <xdr:clientData/>
  </xdr:twoCellAnchor>
  <xdr:twoCellAnchor editAs="oneCell">
    <xdr:from>
      <xdr:col>40</xdr:col>
      <xdr:colOff>28575</xdr:colOff>
      <xdr:row>400</xdr:row>
      <xdr:rowOff>1295400</xdr:rowOff>
    </xdr:from>
    <xdr:to>
      <xdr:col>44</xdr:col>
      <xdr:colOff>219075</xdr:colOff>
      <xdr:row>400</xdr:row>
      <xdr:rowOff>2714625</xdr:rowOff>
    </xdr:to>
    <xdr:pic>
      <xdr:nvPicPr>
        <xdr:cNvPr id="20695" name="Imagen 43">
          <a:extLst>
            <a:ext uri="{FF2B5EF4-FFF2-40B4-BE49-F238E27FC236}">
              <a16:creationId xmlns:a16="http://schemas.microsoft.com/office/drawing/2014/main" id="{86FA5321-F533-4E21-A33C-F62B9C4355D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744575" y="201768075"/>
          <a:ext cx="1562100" cy="1419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31</xdr:col>
      <xdr:colOff>247078</xdr:colOff>
      <xdr:row>398</xdr:row>
      <xdr:rowOff>592149</xdr:rowOff>
    </xdr:from>
    <xdr:to>
      <xdr:col>39</xdr:col>
      <xdr:colOff>295820</xdr:colOff>
      <xdr:row>400</xdr:row>
      <xdr:rowOff>2495855</xdr:rowOff>
    </xdr:to>
    <xdr:sp macro="" textlink="">
      <xdr:nvSpPr>
        <xdr:cNvPr id="47" name="Bocadillo: ovalado 46">
          <a:extLst>
            <a:ext uri="{FF2B5EF4-FFF2-40B4-BE49-F238E27FC236}">
              <a16:creationId xmlns:a16="http://schemas.microsoft.com/office/drawing/2014/main" id="{08074F30-5D6B-4355-841A-C3200A5791D4}"/>
            </a:ext>
          </a:extLst>
        </xdr:cNvPr>
        <xdr:cNvSpPr/>
      </xdr:nvSpPr>
      <xdr:spPr>
        <a:xfrm rot="18001834">
          <a:off x="9263780" y="182058029"/>
          <a:ext cx="2911930" cy="2399162"/>
        </a:xfrm>
        <a:prstGeom prst="wedgeEllipseCallout">
          <a:avLst/>
        </a:prstGeom>
        <a:noFill/>
        <a:ln>
          <a:solidFill>
            <a:srgbClr val="39A1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211631</xdr:colOff>
      <xdr:row>400</xdr:row>
      <xdr:rowOff>308565</xdr:rowOff>
    </xdr:from>
    <xdr:to>
      <xdr:col>39</xdr:col>
      <xdr:colOff>98510</xdr:colOff>
      <xdr:row>400</xdr:row>
      <xdr:rowOff>1431173</xdr:rowOff>
    </xdr:to>
    <xdr:sp macro="" textlink="">
      <xdr:nvSpPr>
        <xdr:cNvPr id="48" name="Cuadro de texto 2">
          <a:extLst>
            <a:ext uri="{FF2B5EF4-FFF2-40B4-BE49-F238E27FC236}">
              <a16:creationId xmlns:a16="http://schemas.microsoft.com/office/drawing/2014/main" id="{773A0CB6-E92D-4CF6-9E2A-769839FCFD97}"/>
            </a:ext>
          </a:extLst>
        </xdr:cNvPr>
        <xdr:cNvSpPr txBox="1"/>
      </xdr:nvSpPr>
      <xdr:spPr>
        <a:xfrm>
          <a:off x="10055310" y="200785866"/>
          <a:ext cx="2064119" cy="1144134"/>
        </a:xfrm>
        <a:prstGeom prst="rect">
          <a:avLst/>
        </a:prstGeom>
        <a:solidFill>
          <a:schemeClr val="lt1"/>
        </a:solidFill>
        <a:ln w="6350">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15000"/>
            </a:lnSpc>
            <a:spcAft>
              <a:spcPts val="800"/>
            </a:spcAft>
          </a:pPr>
          <a:r>
            <a:rPr lang="es-CO" sz="1400" b="1" u="sng" kern="0">
              <a:effectLst/>
              <a:latin typeface="Century Gothic" panose="020B0502020202020204" pitchFamily="34" charset="0"/>
              <a:ea typeface="+mn-ea"/>
              <a:cs typeface="+mn-cs"/>
            </a:rPr>
            <a:t>Marque con una X, </a:t>
          </a:r>
          <a:r>
            <a:rPr lang="es-CO" sz="1400" b="0" kern="0">
              <a:effectLst/>
              <a:latin typeface="Century Gothic" panose="020B0502020202020204" pitchFamily="34" charset="0"/>
              <a:ea typeface="+mn-ea"/>
              <a:cs typeface="+mn-cs"/>
            </a:rPr>
            <a:t>si el valor de cada elemento es aporte del emprendedor o aporte a solicitar al Fondo Emprender</a:t>
          </a:r>
        </a:p>
        <a:p>
          <a:pPr>
            <a:lnSpc>
              <a:spcPct val="115000"/>
            </a:lnSpc>
            <a:spcAft>
              <a:spcPts val="800"/>
            </a:spcAft>
          </a:pPr>
          <a:endParaRPr lang="es-CO" sz="1400" b="0" kern="0" baseline="0">
            <a:effectLst/>
            <a:latin typeface="Century Gothic" panose="020B0502020202020204" pitchFamily="34" charset="0"/>
            <a:ea typeface="+mn-ea"/>
            <a:cs typeface="+mn-cs"/>
          </a:endParaRPr>
        </a:p>
        <a:p>
          <a:pPr>
            <a:lnSpc>
              <a:spcPct val="115000"/>
            </a:lnSpc>
            <a:spcAft>
              <a:spcPts val="800"/>
            </a:spcAft>
          </a:pPr>
          <a:endParaRPr lang="es-CO" sz="1000" kern="100">
            <a:effectLst/>
            <a:latin typeface="Century Gothic" panose="020B0502020202020204" pitchFamily="34" charset="0"/>
            <a:ea typeface="Aptos" panose="020B0004020202020204" pitchFamily="34" charset="0"/>
            <a:cs typeface="Times New Roman" panose="02020603050405020304" pitchFamily="18" charset="0"/>
          </a:endParaRPr>
        </a:p>
      </xdr:txBody>
    </xdr:sp>
    <xdr:clientData/>
  </xdr:twoCellAnchor>
  <xdr:twoCellAnchor editAs="oneCell">
    <xdr:from>
      <xdr:col>33</xdr:col>
      <xdr:colOff>180975</xdr:colOff>
      <xdr:row>228</xdr:row>
      <xdr:rowOff>161925</xdr:rowOff>
    </xdr:from>
    <xdr:to>
      <xdr:col>39</xdr:col>
      <xdr:colOff>123825</xdr:colOff>
      <xdr:row>232</xdr:row>
      <xdr:rowOff>57150</xdr:rowOff>
    </xdr:to>
    <xdr:pic>
      <xdr:nvPicPr>
        <xdr:cNvPr id="20698" name="Imagen 48">
          <a:extLst>
            <a:ext uri="{FF2B5EF4-FFF2-40B4-BE49-F238E27FC236}">
              <a16:creationId xmlns:a16="http://schemas.microsoft.com/office/drawing/2014/main" id="{C9776947-2EEB-4A89-A567-EBBBA9EA741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496675" y="118062375"/>
          <a:ext cx="2000250" cy="165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36</xdr:col>
      <xdr:colOff>323488</xdr:colOff>
      <xdr:row>225</xdr:row>
      <xdr:rowOff>167277</xdr:rowOff>
    </xdr:from>
    <xdr:to>
      <xdr:col>42</xdr:col>
      <xdr:colOff>310671</xdr:colOff>
      <xdr:row>229</xdr:row>
      <xdr:rowOff>111056</xdr:rowOff>
    </xdr:to>
    <xdr:sp macro="" textlink="">
      <xdr:nvSpPr>
        <xdr:cNvPr id="50" name="Bocadillo: ovalado 49">
          <a:extLst>
            <a:ext uri="{FF2B5EF4-FFF2-40B4-BE49-F238E27FC236}">
              <a16:creationId xmlns:a16="http://schemas.microsoft.com/office/drawing/2014/main" id="{29B4E94A-C3D9-46AE-A4EA-C4F8E3C8FF8A}"/>
            </a:ext>
          </a:extLst>
        </xdr:cNvPr>
        <xdr:cNvSpPr/>
      </xdr:nvSpPr>
      <xdr:spPr>
        <a:xfrm>
          <a:off x="11402787" y="120713500"/>
          <a:ext cx="1832427" cy="1297216"/>
        </a:xfrm>
        <a:prstGeom prst="wedgeEllipseCallout">
          <a:avLst/>
        </a:prstGeom>
        <a:noFill/>
        <a:ln>
          <a:solidFill>
            <a:srgbClr val="39A1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38</xdr:col>
      <xdr:colOff>81184</xdr:colOff>
      <xdr:row>226</xdr:row>
      <xdr:rowOff>175669</xdr:rowOff>
    </xdr:from>
    <xdr:to>
      <xdr:col>42</xdr:col>
      <xdr:colOff>3455</xdr:colOff>
      <xdr:row>228</xdr:row>
      <xdr:rowOff>412148</xdr:rowOff>
    </xdr:to>
    <xdr:sp macro="" textlink="">
      <xdr:nvSpPr>
        <xdr:cNvPr id="51" name="Cuadro de texto 2">
          <a:extLst>
            <a:ext uri="{FF2B5EF4-FFF2-40B4-BE49-F238E27FC236}">
              <a16:creationId xmlns:a16="http://schemas.microsoft.com/office/drawing/2014/main" id="{05C73B9F-EC2F-4519-B091-1CCC8171A409}"/>
            </a:ext>
          </a:extLst>
        </xdr:cNvPr>
        <xdr:cNvSpPr txBox="1"/>
      </xdr:nvSpPr>
      <xdr:spPr>
        <a:xfrm>
          <a:off x="11797025" y="120975438"/>
          <a:ext cx="1156975" cy="835705"/>
        </a:xfrm>
        <a:prstGeom prst="rect">
          <a:avLst/>
        </a:prstGeom>
        <a:solidFill>
          <a:schemeClr val="lt1"/>
        </a:solidFill>
        <a:ln w="6350">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15000"/>
            </a:lnSpc>
            <a:spcAft>
              <a:spcPts val="800"/>
            </a:spcAft>
          </a:pPr>
          <a:r>
            <a:rPr lang="es-CO" sz="1100" b="0" kern="0">
              <a:effectLst/>
              <a:latin typeface="Century Gothic" panose="020B0502020202020204" pitchFamily="34" charset="0"/>
              <a:ea typeface="+mn-ea"/>
              <a:cs typeface="+mn-cs"/>
            </a:rPr>
            <a:t>Diligenciar únicamente</a:t>
          </a:r>
          <a:r>
            <a:rPr lang="es-CO" sz="1100" b="0" kern="0" baseline="0">
              <a:effectLst/>
              <a:latin typeface="Century Gothic" panose="020B0502020202020204" pitchFamily="34" charset="0"/>
              <a:ea typeface="+mn-ea"/>
              <a:cs typeface="+mn-cs"/>
            </a:rPr>
            <a:t> las celdas en gris</a:t>
          </a:r>
          <a:endParaRPr lang="es-CO" sz="1100" kern="100">
            <a:effectLst/>
            <a:latin typeface="Century Gothic" panose="020B0502020202020204" pitchFamily="34" charset="0"/>
            <a:ea typeface="Aptos" panose="020B0004020202020204" pitchFamily="34" charset="0"/>
            <a:cs typeface="Times New Roman" panose="02020603050405020304" pitchFamily="18" charset="0"/>
          </a:endParaRPr>
        </a:p>
      </xdr:txBody>
    </xdr:sp>
    <xdr:clientData/>
  </xdr:twoCellAnchor>
  <xdr:twoCellAnchor>
    <xdr:from>
      <xdr:col>33</xdr:col>
      <xdr:colOff>316235</xdr:colOff>
      <xdr:row>99</xdr:row>
      <xdr:rowOff>0</xdr:rowOff>
    </xdr:from>
    <xdr:to>
      <xdr:col>44</xdr:col>
      <xdr:colOff>34053</xdr:colOff>
      <xdr:row>105</xdr:row>
      <xdr:rowOff>190505</xdr:rowOff>
    </xdr:to>
    <xdr:sp macro="" textlink="">
      <xdr:nvSpPr>
        <xdr:cNvPr id="17" name="Diagrama de flujo: cinta perforada 16">
          <a:extLst>
            <a:ext uri="{FF2B5EF4-FFF2-40B4-BE49-F238E27FC236}">
              <a16:creationId xmlns:a16="http://schemas.microsoft.com/office/drawing/2014/main" id="{D0CC80E8-2CC0-44A0-B144-36B4B13A4D06}"/>
            </a:ext>
          </a:extLst>
        </xdr:cNvPr>
        <xdr:cNvSpPr/>
      </xdr:nvSpPr>
      <xdr:spPr>
        <a:xfrm>
          <a:off x="10147396" y="48128464"/>
          <a:ext cx="3067842" cy="3067956"/>
        </a:xfrm>
        <a:prstGeom prst="flowChartPunchedTape">
          <a:avLst/>
        </a:prstGeom>
      </xdr:spPr>
      <xdr:style>
        <a:lnRef idx="2">
          <a:schemeClr val="accent6"/>
        </a:lnRef>
        <a:fillRef idx="1">
          <a:schemeClr val="lt1"/>
        </a:fillRef>
        <a:effectRef idx="0">
          <a:schemeClr val="accent6"/>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s-CO"/>
        </a:p>
      </xdr:txBody>
    </xdr:sp>
    <xdr:clientData/>
  </xdr:twoCellAnchor>
  <xdr:twoCellAnchor>
    <xdr:from>
      <xdr:col>34</xdr:col>
      <xdr:colOff>70430</xdr:colOff>
      <xdr:row>101</xdr:row>
      <xdr:rowOff>71774</xdr:rowOff>
    </xdr:from>
    <xdr:to>
      <xdr:col>43</xdr:col>
      <xdr:colOff>281207</xdr:colOff>
      <xdr:row>101</xdr:row>
      <xdr:rowOff>187844</xdr:rowOff>
    </xdr:to>
    <xdr:sp macro="" textlink="">
      <xdr:nvSpPr>
        <xdr:cNvPr id="13" name="Cuadro de texto 2">
          <a:extLst>
            <a:ext uri="{FF2B5EF4-FFF2-40B4-BE49-F238E27FC236}">
              <a16:creationId xmlns:a16="http://schemas.microsoft.com/office/drawing/2014/main" id="{7599F98A-9470-4B68-9ABE-D04729803A6B}"/>
            </a:ext>
          </a:extLst>
        </xdr:cNvPr>
        <xdr:cNvSpPr txBox="1"/>
      </xdr:nvSpPr>
      <xdr:spPr>
        <a:xfrm>
          <a:off x="10235873" y="48782170"/>
          <a:ext cx="2886099" cy="104573"/>
        </a:xfrm>
        <a:prstGeom prst="rect">
          <a:avLst/>
        </a:prstGeom>
        <a:solidFill>
          <a:schemeClr val="lt1"/>
        </a:solidFill>
        <a:ln w="6350">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15000"/>
            </a:lnSpc>
            <a:spcAft>
              <a:spcPts val="800"/>
            </a:spcAft>
          </a:pPr>
          <a:r>
            <a:rPr lang="es-CO" sz="1000" b="0" kern="0">
              <a:effectLst/>
              <a:latin typeface="Century Gothic" panose="020B0502020202020204" pitchFamily="34" charset="0"/>
              <a:ea typeface="+mn-ea"/>
              <a:cs typeface="+mn-cs"/>
            </a:rPr>
            <a:t>Ejemplo: </a:t>
          </a:r>
          <a:r>
            <a:rPr lang="es-CO" sz="1000" b="1" kern="0">
              <a:effectLst/>
              <a:latin typeface="Century Gothic" panose="020B0502020202020204" pitchFamily="34" charset="0"/>
              <a:ea typeface="+mn-ea"/>
              <a:cs typeface="+mn-cs"/>
            </a:rPr>
            <a:t>Nuestro</a:t>
          </a:r>
          <a:r>
            <a:rPr lang="es-CO" sz="1000" b="0" kern="0">
              <a:effectLst/>
              <a:latin typeface="Century Gothic" panose="020B0502020202020204" pitchFamily="34" charset="0"/>
              <a:ea typeface="+mn-ea"/>
              <a:cs typeface="+mn-cs"/>
            </a:rPr>
            <a:t> local </a:t>
          </a:r>
          <a:r>
            <a:rPr lang="es-CO" sz="1000" b="1" kern="0">
              <a:effectLst/>
              <a:latin typeface="Century Gothic" panose="020B0502020202020204" pitchFamily="34" charset="0"/>
              <a:ea typeface="+mn-ea"/>
              <a:cs typeface="+mn-cs"/>
            </a:rPr>
            <a:t>ayuda</a:t>
          </a:r>
          <a:r>
            <a:rPr lang="es-CO" sz="1000" b="0" kern="0">
              <a:effectLst/>
              <a:latin typeface="Century Gothic" panose="020B0502020202020204" pitchFamily="34" charset="0"/>
              <a:ea typeface="+mn-ea"/>
              <a:cs typeface="+mn-cs"/>
            </a:rPr>
            <a:t> a los usuarios a crear una experiencia en torno al consumo de café, e integrarlo en la vida diaria de sus clientes,  a través del control a la mayor parte de la cadena de suministro del café </a:t>
          </a:r>
          <a:r>
            <a:rPr lang="es-CO" sz="1000" b="1" kern="0">
              <a:effectLst/>
              <a:latin typeface="Century Gothic" panose="020B0502020202020204" pitchFamily="34" charset="0"/>
              <a:ea typeface="+mn-ea"/>
              <a:cs typeface="+mn-cs"/>
            </a:rPr>
            <a:t>que</a:t>
          </a:r>
          <a:r>
            <a:rPr lang="es-CO" sz="1000" b="0" kern="0">
              <a:effectLst/>
              <a:latin typeface="Century Gothic" panose="020B0502020202020204" pitchFamily="34" charset="0"/>
              <a:ea typeface="+mn-ea"/>
              <a:cs typeface="+mn-cs"/>
            </a:rPr>
            <a:t> comprende el cultivo, tostado y distribución, </a:t>
          </a:r>
          <a:r>
            <a:rPr lang="es-CO" sz="1000" b="1" kern="0">
              <a:effectLst/>
              <a:latin typeface="Century Gothic" panose="020B0502020202020204" pitchFamily="34" charset="0"/>
              <a:ea typeface="+mn-ea"/>
              <a:cs typeface="+mn-cs"/>
            </a:rPr>
            <a:t>mediante</a:t>
          </a:r>
          <a:r>
            <a:rPr lang="es-CO" sz="1000" b="0" kern="0">
              <a:effectLst/>
              <a:latin typeface="Century Gothic" panose="020B0502020202020204" pitchFamily="34" charset="0"/>
              <a:ea typeface="+mn-ea"/>
              <a:cs typeface="+mn-cs"/>
            </a:rPr>
            <a:t> un ambiente acogedor, tranquilo, con música suave y</a:t>
          </a:r>
          <a:r>
            <a:rPr lang="es-CO" sz="1000" b="0" kern="0" baseline="0">
              <a:effectLst/>
              <a:latin typeface="Century Gothic" panose="020B0502020202020204" pitchFamily="34" charset="0"/>
              <a:ea typeface="+mn-ea"/>
              <a:cs typeface="+mn-cs"/>
            </a:rPr>
            <a:t> </a:t>
          </a:r>
          <a:r>
            <a:rPr lang="es-CO" sz="1000" b="0" kern="0">
              <a:effectLst/>
              <a:latin typeface="Century Gothic" panose="020B0502020202020204" pitchFamily="34" charset="0"/>
              <a:ea typeface="+mn-ea"/>
              <a:cs typeface="+mn-cs"/>
            </a:rPr>
            <a:t>permitiendo un trato personalizado e intimidad con el cliente</a:t>
          </a:r>
          <a:r>
            <a:rPr lang="es-CO" sz="1100" b="0" i="0">
              <a:effectLst/>
              <a:latin typeface="+mn-lt"/>
              <a:ea typeface="+mn-ea"/>
              <a:cs typeface="+mn-cs"/>
            </a:rPr>
            <a:t>.</a:t>
          </a:r>
          <a:endParaRPr lang="es-CO" sz="1400">
            <a:effectLst/>
          </a:endParaRPr>
        </a:p>
        <a:p>
          <a:pPr>
            <a:lnSpc>
              <a:spcPct val="115000"/>
            </a:lnSpc>
            <a:spcAft>
              <a:spcPts val="800"/>
            </a:spcAft>
          </a:pPr>
          <a:endParaRPr lang="es-CO" sz="1400" kern="100">
            <a:effectLst/>
            <a:latin typeface="Century Gothic" panose="020B0502020202020204" pitchFamily="34" charset="0"/>
            <a:ea typeface="Aptos" panose="020B0004020202020204" pitchFamily="34" charset="0"/>
            <a:cs typeface="Times New Roman" panose="02020603050405020304" pitchFamily="18" charset="0"/>
          </a:endParaRPr>
        </a:p>
      </xdr:txBody>
    </xdr:sp>
    <xdr:clientData/>
  </xdr:twoCellAnchor>
  <xdr:twoCellAnchor editAs="oneCell">
    <xdr:from>
      <xdr:col>34</xdr:col>
      <xdr:colOff>219075</xdr:colOff>
      <xdr:row>24</xdr:row>
      <xdr:rowOff>1257300</xdr:rowOff>
    </xdr:from>
    <xdr:to>
      <xdr:col>41</xdr:col>
      <xdr:colOff>38100</xdr:colOff>
      <xdr:row>24</xdr:row>
      <xdr:rowOff>3124200</xdr:rowOff>
    </xdr:to>
    <xdr:pic>
      <xdr:nvPicPr>
        <xdr:cNvPr id="20703" name="Imagen 17">
          <a:extLst>
            <a:ext uri="{FF2B5EF4-FFF2-40B4-BE49-F238E27FC236}">
              <a16:creationId xmlns:a16="http://schemas.microsoft.com/office/drawing/2014/main" id="{28D118A9-12D4-4AD2-A28E-5FDDB9202D3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877675" y="8020050"/>
          <a:ext cx="2219325" cy="186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36</xdr:col>
      <xdr:colOff>192041</xdr:colOff>
      <xdr:row>22</xdr:row>
      <xdr:rowOff>227239</xdr:rowOff>
    </xdr:from>
    <xdr:to>
      <xdr:col>43</xdr:col>
      <xdr:colOff>151789</xdr:colOff>
      <xdr:row>24</xdr:row>
      <xdr:rowOff>1165083</xdr:rowOff>
    </xdr:to>
    <xdr:sp macro="" textlink="">
      <xdr:nvSpPr>
        <xdr:cNvPr id="20" name="Bocadillo: ovalado 19">
          <a:extLst>
            <a:ext uri="{FF2B5EF4-FFF2-40B4-BE49-F238E27FC236}">
              <a16:creationId xmlns:a16="http://schemas.microsoft.com/office/drawing/2014/main" id="{162869D4-A554-43E1-B3F4-56906B0F5421}"/>
            </a:ext>
          </a:extLst>
        </xdr:cNvPr>
        <xdr:cNvSpPr/>
      </xdr:nvSpPr>
      <xdr:spPr>
        <a:xfrm>
          <a:off x="11275785" y="6422571"/>
          <a:ext cx="2113644" cy="1632354"/>
        </a:xfrm>
        <a:prstGeom prst="wedgeEllipseCallout">
          <a:avLst/>
        </a:prstGeom>
        <a:noFill/>
        <a:ln>
          <a:solidFill>
            <a:srgbClr val="39A1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37</xdr:col>
      <xdr:colOff>156754</xdr:colOff>
      <xdr:row>24</xdr:row>
      <xdr:rowOff>2723</xdr:rowOff>
    </xdr:from>
    <xdr:to>
      <xdr:col>42</xdr:col>
      <xdr:colOff>307228</xdr:colOff>
      <xdr:row>24</xdr:row>
      <xdr:rowOff>499670</xdr:rowOff>
    </xdr:to>
    <xdr:sp macro="" textlink="">
      <xdr:nvSpPr>
        <xdr:cNvPr id="25" name="Cuadro de texto 2">
          <a:extLst>
            <a:ext uri="{FF2B5EF4-FFF2-40B4-BE49-F238E27FC236}">
              <a16:creationId xmlns:a16="http://schemas.microsoft.com/office/drawing/2014/main" id="{F4EBD282-6439-469A-9586-7E1CB1B221A4}"/>
            </a:ext>
          </a:extLst>
        </xdr:cNvPr>
        <xdr:cNvSpPr txBox="1"/>
      </xdr:nvSpPr>
      <xdr:spPr>
        <a:xfrm>
          <a:off x="11566071" y="6903359"/>
          <a:ext cx="1693283" cy="516676"/>
        </a:xfrm>
        <a:prstGeom prst="rect">
          <a:avLst/>
        </a:prstGeom>
        <a:solidFill>
          <a:schemeClr val="lt1"/>
        </a:solidFill>
        <a:ln w="6350">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15000"/>
            </a:lnSpc>
            <a:spcAft>
              <a:spcPts val="800"/>
            </a:spcAft>
          </a:pPr>
          <a:r>
            <a:rPr lang="es-CO" sz="1450" b="0">
              <a:effectLst/>
              <a:latin typeface="Century Gothic" panose="020B0502020202020204" pitchFamily="34" charset="0"/>
              <a:ea typeface="+mn-ea"/>
              <a:cs typeface="+mn-cs"/>
            </a:rPr>
            <a:t>Atención a esta información</a:t>
          </a:r>
          <a:endParaRPr lang="es-CO" sz="1450" kern="100">
            <a:effectLst/>
            <a:latin typeface="Century Gothic" panose="020B0502020202020204" pitchFamily="34" charset="0"/>
            <a:ea typeface="Aptos" panose="020B0004020202020204" pitchFamily="34" charset="0"/>
            <a:cs typeface="Times New Roman" panose="02020603050405020304" pitchFamily="18" charset="0"/>
          </a:endParaRPr>
        </a:p>
      </xdr:txBody>
    </xdr:sp>
    <xdr:clientData/>
  </xdr:twoCellAnchor>
  <xdr:twoCellAnchor editAs="oneCell">
    <xdr:from>
      <xdr:col>44</xdr:col>
      <xdr:colOff>152400</xdr:colOff>
      <xdr:row>452</xdr:row>
      <xdr:rowOff>180975</xdr:rowOff>
    </xdr:from>
    <xdr:to>
      <xdr:col>48</xdr:col>
      <xdr:colOff>333375</xdr:colOff>
      <xdr:row>456</xdr:row>
      <xdr:rowOff>209550</xdr:rowOff>
    </xdr:to>
    <xdr:pic>
      <xdr:nvPicPr>
        <xdr:cNvPr id="20706" name="Imagen 43">
          <a:extLst>
            <a:ext uri="{FF2B5EF4-FFF2-40B4-BE49-F238E27FC236}">
              <a16:creationId xmlns:a16="http://schemas.microsoft.com/office/drawing/2014/main" id="{3E3BD3FD-2CA2-4EE7-922A-C024BB506DD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240000" y="230047800"/>
          <a:ext cx="1552575" cy="1409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45</xdr:col>
      <xdr:colOff>18687</xdr:colOff>
      <xdr:row>449</xdr:row>
      <xdr:rowOff>23374</xdr:rowOff>
    </xdr:from>
    <xdr:to>
      <xdr:col>51</xdr:col>
      <xdr:colOff>153954</xdr:colOff>
      <xdr:row>452</xdr:row>
      <xdr:rowOff>151227</xdr:rowOff>
    </xdr:to>
    <xdr:sp macro="" textlink="">
      <xdr:nvSpPr>
        <xdr:cNvPr id="3" name="Bocadillo: ovalado 2">
          <a:extLst>
            <a:ext uri="{FF2B5EF4-FFF2-40B4-BE49-F238E27FC236}">
              <a16:creationId xmlns:a16="http://schemas.microsoft.com/office/drawing/2014/main" id="{B0FBD59A-6724-4260-A9AE-3F4DEF65639C}"/>
            </a:ext>
          </a:extLst>
        </xdr:cNvPr>
        <xdr:cNvSpPr/>
      </xdr:nvSpPr>
      <xdr:spPr>
        <a:xfrm rot="2334102">
          <a:off x="13489758" y="226691160"/>
          <a:ext cx="1921749" cy="1774317"/>
        </a:xfrm>
        <a:prstGeom prst="wedgeEllipseCallout">
          <a:avLst>
            <a:gd name="adj1" fmla="val -49042"/>
            <a:gd name="adj2" fmla="val 39737"/>
          </a:avLst>
        </a:prstGeom>
        <a:noFill/>
        <a:ln>
          <a:solidFill>
            <a:srgbClr val="39A1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45</xdr:col>
      <xdr:colOff>254838</xdr:colOff>
      <xdr:row>449</xdr:row>
      <xdr:rowOff>458459</xdr:rowOff>
    </xdr:from>
    <xdr:to>
      <xdr:col>50</xdr:col>
      <xdr:colOff>283113</xdr:colOff>
      <xdr:row>451</xdr:row>
      <xdr:rowOff>265889</xdr:rowOff>
    </xdr:to>
    <xdr:sp macro="" textlink="">
      <xdr:nvSpPr>
        <xdr:cNvPr id="8" name="Cuadro de texto 2">
          <a:extLst>
            <a:ext uri="{FF2B5EF4-FFF2-40B4-BE49-F238E27FC236}">
              <a16:creationId xmlns:a16="http://schemas.microsoft.com/office/drawing/2014/main" id="{774FAD11-2ED4-415B-B54B-86392DCDA5B2}"/>
            </a:ext>
          </a:extLst>
        </xdr:cNvPr>
        <xdr:cNvSpPr txBox="1"/>
      </xdr:nvSpPr>
      <xdr:spPr>
        <a:xfrm>
          <a:off x="13687809" y="227113545"/>
          <a:ext cx="1524977" cy="833312"/>
        </a:xfrm>
        <a:prstGeom prst="rect">
          <a:avLst/>
        </a:prstGeom>
        <a:solidFill>
          <a:schemeClr val="lt1"/>
        </a:solidFill>
        <a:ln w="6350">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15000"/>
            </a:lnSpc>
            <a:spcAft>
              <a:spcPts val="800"/>
            </a:spcAft>
          </a:pPr>
          <a:r>
            <a:rPr lang="es-CO" sz="1400" b="0" u="none" kern="0">
              <a:effectLst/>
              <a:latin typeface="Century Gothic" panose="020B0502020202020204" pitchFamily="34" charset="0"/>
              <a:ea typeface="+mn-ea"/>
              <a:cs typeface="+mn-cs"/>
            </a:rPr>
            <a:t>Elige de la lista desplegable</a:t>
          </a:r>
          <a:r>
            <a:rPr lang="es-CO" sz="1400" b="0" u="none" kern="0" baseline="0">
              <a:effectLst/>
              <a:latin typeface="Century Gothic" panose="020B0502020202020204" pitchFamily="34" charset="0"/>
              <a:ea typeface="+mn-ea"/>
              <a:cs typeface="+mn-cs"/>
            </a:rPr>
            <a:t> </a:t>
          </a:r>
          <a:r>
            <a:rPr lang="es-CO" sz="1400" b="0" u="none" kern="0">
              <a:effectLst/>
              <a:latin typeface="Century Gothic" panose="020B0502020202020204" pitchFamily="34" charset="0"/>
              <a:ea typeface="+mn-ea"/>
              <a:cs typeface="+mn-cs"/>
            </a:rPr>
            <a:t>la opción según corresponda</a:t>
          </a:r>
        </a:p>
        <a:p>
          <a:pPr>
            <a:lnSpc>
              <a:spcPct val="115000"/>
            </a:lnSpc>
            <a:spcAft>
              <a:spcPts val="800"/>
            </a:spcAft>
          </a:pPr>
          <a:endParaRPr lang="es-CO" sz="1400" b="0" kern="0" baseline="0">
            <a:effectLst/>
            <a:latin typeface="Century Gothic" panose="020B0502020202020204" pitchFamily="34" charset="0"/>
            <a:ea typeface="+mn-ea"/>
            <a:cs typeface="+mn-cs"/>
          </a:endParaRPr>
        </a:p>
        <a:p>
          <a:pPr>
            <a:lnSpc>
              <a:spcPct val="115000"/>
            </a:lnSpc>
            <a:spcAft>
              <a:spcPts val="800"/>
            </a:spcAft>
          </a:pPr>
          <a:endParaRPr lang="es-CO" sz="1000" kern="100">
            <a:effectLst/>
            <a:latin typeface="Century Gothic" panose="020B0502020202020204" pitchFamily="34" charset="0"/>
            <a:ea typeface="Aptos" panose="020B0004020202020204" pitchFamily="34"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1133475</xdr:colOff>
      <xdr:row>0</xdr:row>
      <xdr:rowOff>0</xdr:rowOff>
    </xdr:from>
    <xdr:to>
      <xdr:col>5</xdr:col>
      <xdr:colOff>952500</xdr:colOff>
      <xdr:row>2</xdr:row>
      <xdr:rowOff>504825</xdr:rowOff>
    </xdr:to>
    <xdr:pic>
      <xdr:nvPicPr>
        <xdr:cNvPr id="15656" name="Imagen 3" descr="Forma&#10;&#10;Descripción generada automáticamente con confianza media">
          <a:extLst>
            <a:ext uri="{FF2B5EF4-FFF2-40B4-BE49-F238E27FC236}">
              <a16:creationId xmlns:a16="http://schemas.microsoft.com/office/drawing/2014/main" id="{FA6DA665-9BE3-4B4C-803E-C28279E90D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89565" t="4330" r="4407" b="85594"/>
        <a:stretch>
          <a:fillRect/>
        </a:stretch>
      </xdr:blipFill>
      <xdr:spPr bwMode="auto">
        <a:xfrm>
          <a:off x="7877175" y="0"/>
          <a:ext cx="1581150" cy="1209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1752600</xdr:colOff>
      <xdr:row>0</xdr:row>
      <xdr:rowOff>0</xdr:rowOff>
    </xdr:from>
    <xdr:to>
      <xdr:col>8</xdr:col>
      <xdr:colOff>704850</xdr:colOff>
      <xdr:row>3</xdr:row>
      <xdr:rowOff>228600</xdr:rowOff>
    </xdr:to>
    <xdr:pic>
      <xdr:nvPicPr>
        <xdr:cNvPr id="15657" name="Imagen 4">
          <a:extLst>
            <a:ext uri="{FF2B5EF4-FFF2-40B4-BE49-F238E27FC236}">
              <a16:creationId xmlns:a16="http://schemas.microsoft.com/office/drawing/2014/main" id="{DE047BC4-F4E8-4B4A-8628-AA3BA4E49C1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496300" y="0"/>
          <a:ext cx="6400800" cy="1495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1114425</xdr:colOff>
      <xdr:row>12</xdr:row>
      <xdr:rowOff>28575</xdr:rowOff>
    </xdr:from>
    <xdr:to>
      <xdr:col>5</xdr:col>
      <xdr:colOff>923925</xdr:colOff>
      <xdr:row>12</xdr:row>
      <xdr:rowOff>1247775</xdr:rowOff>
    </xdr:to>
    <xdr:pic>
      <xdr:nvPicPr>
        <xdr:cNvPr id="15658" name="Imagen 6" descr="Forma&#10;&#10;Descripción generada automáticamente con confianza media">
          <a:extLst>
            <a:ext uri="{FF2B5EF4-FFF2-40B4-BE49-F238E27FC236}">
              <a16:creationId xmlns:a16="http://schemas.microsoft.com/office/drawing/2014/main" id="{E0271281-2E54-47DB-A675-023DB3FAB9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89565" t="4330" r="4407" b="85594"/>
        <a:stretch>
          <a:fillRect/>
        </a:stretch>
      </xdr:blipFill>
      <xdr:spPr bwMode="auto">
        <a:xfrm>
          <a:off x="7858125" y="14630400"/>
          <a:ext cx="1571625" cy="1219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47625</xdr:colOff>
      <xdr:row>12</xdr:row>
      <xdr:rowOff>28575</xdr:rowOff>
    </xdr:from>
    <xdr:to>
      <xdr:col>8</xdr:col>
      <xdr:colOff>752475</xdr:colOff>
      <xdr:row>13</xdr:row>
      <xdr:rowOff>142875</xdr:rowOff>
    </xdr:to>
    <xdr:pic>
      <xdr:nvPicPr>
        <xdr:cNvPr id="15659" name="Imagen 7">
          <a:extLst>
            <a:ext uri="{FF2B5EF4-FFF2-40B4-BE49-F238E27FC236}">
              <a16:creationId xmlns:a16="http://schemas.microsoft.com/office/drawing/2014/main" id="{CC632DBE-A632-48B7-B565-FE11824F97F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553450" y="14630400"/>
          <a:ext cx="6391275" cy="1495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1028700</xdr:colOff>
      <xdr:row>0</xdr:row>
      <xdr:rowOff>133350</xdr:rowOff>
    </xdr:from>
    <xdr:to>
      <xdr:col>3</xdr:col>
      <xdr:colOff>200025</xdr:colOff>
      <xdr:row>2</xdr:row>
      <xdr:rowOff>266700</xdr:rowOff>
    </xdr:to>
    <xdr:pic>
      <xdr:nvPicPr>
        <xdr:cNvPr id="4057" name="Imagen 1" descr="Forma&#10;&#10;Descripción generada automáticamente con confianza media">
          <a:extLst>
            <a:ext uri="{FF2B5EF4-FFF2-40B4-BE49-F238E27FC236}">
              <a16:creationId xmlns:a16="http://schemas.microsoft.com/office/drawing/2014/main" id="{9AD4443B-D2D3-41E1-98C1-40E22D2D9F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89565" t="4330" r="4407" b="85594"/>
        <a:stretch>
          <a:fillRect/>
        </a:stretch>
      </xdr:blipFill>
      <xdr:spPr bwMode="auto">
        <a:xfrm>
          <a:off x="4562475" y="133350"/>
          <a:ext cx="93345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377824</xdr:colOff>
      <xdr:row>3</xdr:row>
      <xdr:rowOff>41276</xdr:rowOff>
    </xdr:from>
    <xdr:to>
      <xdr:col>5</xdr:col>
      <xdr:colOff>2197615</xdr:colOff>
      <xdr:row>3</xdr:row>
      <xdr:rowOff>473076</xdr:rowOff>
    </xdr:to>
    <xdr:sp macro="" textlink="">
      <xdr:nvSpPr>
        <xdr:cNvPr id="3" name="Rectángulo: esquinas redondeadas 2">
          <a:extLst>
            <a:ext uri="{FF2B5EF4-FFF2-40B4-BE49-F238E27FC236}">
              <a16:creationId xmlns:a16="http://schemas.microsoft.com/office/drawing/2014/main" id="{3B9E48EC-D987-45EF-850D-BDA7C67AC8A6}"/>
            </a:ext>
          </a:extLst>
        </xdr:cNvPr>
        <xdr:cNvSpPr/>
      </xdr:nvSpPr>
      <xdr:spPr>
        <a:xfrm>
          <a:off x="809624" y="854076"/>
          <a:ext cx="10334625" cy="438150"/>
        </a:xfrm>
        <a:prstGeom prst="roundRect">
          <a:avLst/>
        </a:prstGeom>
        <a:solidFill>
          <a:srgbClr val="39A900"/>
        </a:solidFill>
        <a:ln>
          <a:solidFill>
            <a:srgbClr val="47AD2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2000" b="1">
              <a:latin typeface="Century Gothic" panose="020B0502020202020204" pitchFamily="34" charset="0"/>
            </a:rPr>
            <a:t>MODELO</a:t>
          </a:r>
          <a:r>
            <a:rPr lang="es-CO" sz="2000" b="1" baseline="0">
              <a:latin typeface="Century Gothic" panose="020B0502020202020204" pitchFamily="34" charset="0"/>
            </a:rPr>
            <a:t> FINANCIERO</a:t>
          </a:r>
          <a:endParaRPr lang="es-CO" sz="2000" b="1">
            <a:latin typeface="Century Gothic" panose="020B0502020202020204" pitchFamily="34" charset="0"/>
          </a:endParaRPr>
        </a:p>
      </xdr:txBody>
    </xdr:sp>
    <xdr:clientData/>
  </xdr:twoCellAnchor>
  <xdr:twoCellAnchor editAs="oneCell">
    <xdr:from>
      <xdr:col>2</xdr:col>
      <xdr:colOff>1333500</xdr:colOff>
      <xdr:row>0</xdr:row>
      <xdr:rowOff>0</xdr:rowOff>
    </xdr:from>
    <xdr:to>
      <xdr:col>4</xdr:col>
      <xdr:colOff>1543050</xdr:colOff>
      <xdr:row>3</xdr:row>
      <xdr:rowOff>114300</xdr:rowOff>
    </xdr:to>
    <xdr:pic>
      <xdr:nvPicPr>
        <xdr:cNvPr id="4059" name="Imagen 3">
          <a:extLst>
            <a:ext uri="{FF2B5EF4-FFF2-40B4-BE49-F238E27FC236}">
              <a16:creationId xmlns:a16="http://schemas.microsoft.com/office/drawing/2014/main" id="{2C95CCA3-FBFB-486F-9AED-B1637FEAFD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67275" y="0"/>
          <a:ext cx="4171950"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drrodriguezm/Dropbox/2024/SENA/FONDO%20EMPRENDER/MODELO%20CAMPESINOS/CAJA%20DE%20HERRAMIENTAS/PROYECTO%20ECONOM&#205;A%20CAMPESINA%20VF161120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p-Mun"/>
      <sheetName val="Sectores"/>
      <sheetName val="PROYECTO"/>
      <sheetName val="GRUPO ASOCIATIVO"/>
      <sheetName val="MODELO FINANCIERO"/>
      <sheetName val="Hoja2"/>
    </sheetNames>
    <sheetDataSet>
      <sheetData sheetId="0">
        <row r="1">
          <cell r="A1" t="str">
            <v>Amazonas</v>
          </cell>
          <cell r="B1" t="str">
            <v>Antioquia</v>
          </cell>
          <cell r="C1" t="str">
            <v>Arauca</v>
          </cell>
          <cell r="D1" t="str">
            <v>Archipiélago_De_San_Andrés</v>
          </cell>
          <cell r="E1" t="str">
            <v>Atlántico</v>
          </cell>
          <cell r="F1" t="str">
            <v>Bogotá_D.C.</v>
          </cell>
          <cell r="G1" t="str">
            <v>Bolívar</v>
          </cell>
          <cell r="H1" t="str">
            <v>Boyacá</v>
          </cell>
          <cell r="I1" t="str">
            <v>Caldas</v>
          </cell>
          <cell r="J1" t="str">
            <v>Caquetá</v>
          </cell>
          <cell r="K1" t="str">
            <v>Casanare</v>
          </cell>
          <cell r="L1" t="str">
            <v>Cauca</v>
          </cell>
          <cell r="M1" t="str">
            <v>Cesar</v>
          </cell>
          <cell r="N1" t="str">
            <v>Chocó</v>
          </cell>
          <cell r="O1" t="str">
            <v>Córdoba</v>
          </cell>
          <cell r="P1" t="str">
            <v>Cundinamarca</v>
          </cell>
          <cell r="Q1" t="str">
            <v>Guainía</v>
          </cell>
          <cell r="R1" t="str">
            <v>Guaviare</v>
          </cell>
          <cell r="S1" t="str">
            <v>Huila</v>
          </cell>
          <cell r="T1" t="str">
            <v>La_Guajira</v>
          </cell>
          <cell r="U1" t="str">
            <v>Magdalena</v>
          </cell>
          <cell r="V1" t="str">
            <v>Meta</v>
          </cell>
          <cell r="W1" t="str">
            <v>Nariño</v>
          </cell>
          <cell r="X1" t="str">
            <v>Norte_De_Santander</v>
          </cell>
          <cell r="Y1" t="str">
            <v>Putumayo</v>
          </cell>
          <cell r="Z1" t="str">
            <v>Quindío</v>
          </cell>
          <cell r="AA1" t="str">
            <v>Risaralda</v>
          </cell>
          <cell r="AB1" t="str">
            <v>Santander</v>
          </cell>
          <cell r="AC1" t="str">
            <v>Sucre</v>
          </cell>
          <cell r="AD1" t="str">
            <v>Tolima</v>
          </cell>
          <cell r="AE1" t="str">
            <v>Valle_Del_Cauca</v>
          </cell>
          <cell r="AF1" t="str">
            <v>Vaupés</v>
          </cell>
          <cell r="AG1" t="str">
            <v>Vichada</v>
          </cell>
        </row>
      </sheetData>
      <sheetData sheetId="1"/>
      <sheetData sheetId="2"/>
      <sheetData sheetId="3"/>
      <sheetData sheetId="4"/>
      <sheetData sheetId="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108"/>
  <sheetViews>
    <sheetView topLeftCell="J1" zoomScaleNormal="100" workbookViewId="0">
      <selection activeCell="O14" sqref="O14"/>
    </sheetView>
  </sheetViews>
  <sheetFormatPr baseColWidth="10" defaultRowHeight="14.25"/>
  <cols>
    <col min="4" max="4" width="22.5" customWidth="1"/>
  </cols>
  <sheetData>
    <row r="1" spans="1:33" ht="25.5">
      <c r="A1" s="14" t="s">
        <v>10</v>
      </c>
      <c r="B1" s="14" t="s">
        <v>11</v>
      </c>
      <c r="C1" s="14" t="s">
        <v>12</v>
      </c>
      <c r="D1" s="14" t="s">
        <v>159</v>
      </c>
      <c r="E1" s="14" t="s">
        <v>13</v>
      </c>
      <c r="F1" s="14" t="s">
        <v>160</v>
      </c>
      <c r="G1" s="14" t="s">
        <v>14</v>
      </c>
      <c r="H1" s="14" t="s">
        <v>15</v>
      </c>
      <c r="I1" s="14" t="s">
        <v>16</v>
      </c>
      <c r="J1" s="14" t="s">
        <v>17</v>
      </c>
      <c r="K1" s="14" t="s">
        <v>18</v>
      </c>
      <c r="L1" s="14" t="s">
        <v>19</v>
      </c>
      <c r="M1" s="14" t="s">
        <v>20</v>
      </c>
      <c r="N1" s="14" t="s">
        <v>23</v>
      </c>
      <c r="O1" s="14" t="s">
        <v>21</v>
      </c>
      <c r="P1" s="14" t="s">
        <v>22</v>
      </c>
      <c r="Q1" s="14" t="s">
        <v>24</v>
      </c>
      <c r="R1" s="14" t="s">
        <v>25</v>
      </c>
      <c r="S1" s="14" t="s">
        <v>26</v>
      </c>
      <c r="T1" s="14" t="s">
        <v>161</v>
      </c>
      <c r="U1" s="14" t="s">
        <v>27</v>
      </c>
      <c r="V1" s="14" t="s">
        <v>28</v>
      </c>
      <c r="W1" s="14" t="s">
        <v>29</v>
      </c>
      <c r="X1" s="15" t="s">
        <v>162</v>
      </c>
      <c r="Y1" s="14" t="s">
        <v>30</v>
      </c>
      <c r="Z1" s="14" t="s">
        <v>163</v>
      </c>
      <c r="AA1" s="14" t="s">
        <v>31</v>
      </c>
      <c r="AB1" s="14" t="s">
        <v>33</v>
      </c>
      <c r="AC1" s="14" t="s">
        <v>34</v>
      </c>
      <c r="AD1" s="14" t="s">
        <v>35</v>
      </c>
      <c r="AE1" s="14" t="s">
        <v>164</v>
      </c>
      <c r="AF1" s="14" t="s">
        <v>36</v>
      </c>
      <c r="AG1" s="14" t="s">
        <v>37</v>
      </c>
    </row>
    <row r="2" spans="1:33">
      <c r="A2" s="16" t="s">
        <v>165</v>
      </c>
      <c r="B2" s="16" t="s">
        <v>166</v>
      </c>
      <c r="C2" s="16" t="s">
        <v>12</v>
      </c>
      <c r="D2" s="16" t="s">
        <v>32</v>
      </c>
      <c r="E2" s="16" t="s">
        <v>167</v>
      </c>
      <c r="F2" s="16" t="s">
        <v>168</v>
      </c>
      <c r="G2" s="16" t="s">
        <v>169</v>
      </c>
      <c r="H2" s="16" t="s">
        <v>170</v>
      </c>
      <c r="I2" s="16" t="s">
        <v>171</v>
      </c>
      <c r="J2" s="16" t="s">
        <v>172</v>
      </c>
      <c r="K2" s="16" t="s">
        <v>173</v>
      </c>
      <c r="L2" s="16" t="s">
        <v>174</v>
      </c>
      <c r="M2" s="16" t="s">
        <v>175</v>
      </c>
      <c r="N2" s="16" t="s">
        <v>176</v>
      </c>
      <c r="O2" s="16" t="s">
        <v>177</v>
      </c>
      <c r="P2" s="16" t="s">
        <v>178</v>
      </c>
      <c r="Q2" s="16" t="s">
        <v>179</v>
      </c>
      <c r="R2" s="16" t="s">
        <v>180</v>
      </c>
      <c r="S2" s="16" t="s">
        <v>181</v>
      </c>
      <c r="T2" s="16" t="s">
        <v>182</v>
      </c>
      <c r="U2" s="16" t="s">
        <v>183</v>
      </c>
      <c r="V2" s="16" t="s">
        <v>184</v>
      </c>
      <c r="W2" s="16" t="s">
        <v>185</v>
      </c>
      <c r="X2" s="16" t="s">
        <v>186</v>
      </c>
      <c r="Y2" s="16" t="s">
        <v>187</v>
      </c>
      <c r="Z2" s="16" t="s">
        <v>188</v>
      </c>
      <c r="AA2" s="16" t="s">
        <v>189</v>
      </c>
      <c r="AB2" s="16" t="s">
        <v>190</v>
      </c>
      <c r="AC2" s="16" t="s">
        <v>191</v>
      </c>
      <c r="AD2" s="16" t="s">
        <v>192</v>
      </c>
      <c r="AE2" s="16" t="s">
        <v>193</v>
      </c>
      <c r="AF2" s="16" t="s">
        <v>194</v>
      </c>
      <c r="AG2" s="16" t="s">
        <v>195</v>
      </c>
    </row>
    <row r="3" spans="1:33">
      <c r="A3" s="16" t="s">
        <v>196</v>
      </c>
      <c r="B3" s="16" t="s">
        <v>197</v>
      </c>
      <c r="C3" s="16" t="s">
        <v>198</v>
      </c>
      <c r="D3" s="16" t="s">
        <v>199</v>
      </c>
      <c r="E3" s="16" t="s">
        <v>200</v>
      </c>
      <c r="G3" s="16" t="s">
        <v>201</v>
      </c>
      <c r="H3" s="16" t="s">
        <v>202</v>
      </c>
      <c r="I3" s="16" t="s">
        <v>203</v>
      </c>
      <c r="J3" s="16" t="s">
        <v>204</v>
      </c>
      <c r="K3" s="16" t="s">
        <v>205</v>
      </c>
      <c r="L3" s="16" t="s">
        <v>206</v>
      </c>
      <c r="M3" s="16" t="s">
        <v>207</v>
      </c>
      <c r="N3" s="16" t="s">
        <v>208</v>
      </c>
      <c r="O3" s="16" t="s">
        <v>209</v>
      </c>
      <c r="P3" s="16" t="s">
        <v>210</v>
      </c>
      <c r="Q3" s="16" t="s">
        <v>211</v>
      </c>
      <c r="R3" s="16" t="s">
        <v>212</v>
      </c>
      <c r="S3" s="16" t="s">
        <v>213</v>
      </c>
      <c r="T3" s="16" t="s">
        <v>204</v>
      </c>
      <c r="U3" s="16" t="s">
        <v>214</v>
      </c>
      <c r="V3" s="16" t="s">
        <v>215</v>
      </c>
      <c r="W3" s="16" t="s">
        <v>210</v>
      </c>
      <c r="X3" s="16" t="s">
        <v>216</v>
      </c>
      <c r="Y3" s="16" t="s">
        <v>217</v>
      </c>
      <c r="Z3" s="16" t="s">
        <v>218</v>
      </c>
      <c r="AA3" s="16" t="s">
        <v>219</v>
      </c>
      <c r="AB3" s="16" t="s">
        <v>220</v>
      </c>
      <c r="AC3" s="16" t="s">
        <v>218</v>
      </c>
      <c r="AD3" s="16" t="s">
        <v>221</v>
      </c>
      <c r="AE3" s="16" t="s">
        <v>222</v>
      </c>
      <c r="AF3" s="16" t="s">
        <v>223</v>
      </c>
      <c r="AG3" s="16" t="s">
        <v>224</v>
      </c>
    </row>
    <row r="4" spans="1:33">
      <c r="A4" s="16" t="s">
        <v>225</v>
      </c>
      <c r="B4" s="16" t="s">
        <v>226</v>
      </c>
      <c r="C4" s="16" t="s">
        <v>227</v>
      </c>
      <c r="E4" s="16" t="s">
        <v>228</v>
      </c>
      <c r="G4" s="16" t="s">
        <v>229</v>
      </c>
      <c r="H4" s="16" t="s">
        <v>230</v>
      </c>
      <c r="I4" s="16" t="s">
        <v>231</v>
      </c>
      <c r="J4" s="16" t="s">
        <v>232</v>
      </c>
      <c r="K4" s="16" t="s">
        <v>233</v>
      </c>
      <c r="L4" s="16" t="s">
        <v>234</v>
      </c>
      <c r="M4" s="16" t="s">
        <v>235</v>
      </c>
      <c r="N4" s="16" t="s">
        <v>236</v>
      </c>
      <c r="O4" s="16" t="s">
        <v>218</v>
      </c>
      <c r="P4" s="16" t="s">
        <v>237</v>
      </c>
      <c r="Q4" s="16" t="s">
        <v>238</v>
      </c>
      <c r="R4" s="16" t="s">
        <v>239</v>
      </c>
      <c r="S4" s="16" t="s">
        <v>240</v>
      </c>
      <c r="T4" s="16" t="s">
        <v>241</v>
      </c>
      <c r="U4" s="16" t="s">
        <v>242</v>
      </c>
      <c r="V4" s="16" t="s">
        <v>243</v>
      </c>
      <c r="W4" s="16" t="s">
        <v>244</v>
      </c>
      <c r="X4" s="16" t="s">
        <v>245</v>
      </c>
      <c r="Y4" s="16" t="s">
        <v>246</v>
      </c>
      <c r="Z4" s="16" t="s">
        <v>247</v>
      </c>
      <c r="AA4" s="16" t="s">
        <v>248</v>
      </c>
      <c r="AB4" s="16" t="s">
        <v>204</v>
      </c>
      <c r="AC4" s="16" t="s">
        <v>249</v>
      </c>
      <c r="AD4" s="16" t="s">
        <v>250</v>
      </c>
      <c r="AE4" s="16" t="s">
        <v>251</v>
      </c>
      <c r="AF4" s="16" t="s">
        <v>252</v>
      </c>
      <c r="AG4" s="16" t="s">
        <v>253</v>
      </c>
    </row>
    <row r="5" spans="1:33">
      <c r="A5" s="16" t="s">
        <v>254</v>
      </c>
      <c r="B5" s="16" t="s">
        <v>255</v>
      </c>
      <c r="C5" s="16" t="s">
        <v>256</v>
      </c>
      <c r="E5" s="16" t="s">
        <v>257</v>
      </c>
      <c r="G5" s="16" t="s">
        <v>258</v>
      </c>
      <c r="H5" s="16" t="s">
        <v>259</v>
      </c>
      <c r="I5" s="16" t="s">
        <v>260</v>
      </c>
      <c r="J5" s="16" t="s">
        <v>261</v>
      </c>
      <c r="K5" s="16" t="s">
        <v>262</v>
      </c>
      <c r="L5" s="16" t="s">
        <v>248</v>
      </c>
      <c r="M5" s="16" t="s">
        <v>263</v>
      </c>
      <c r="N5" s="16" t="s">
        <v>264</v>
      </c>
      <c r="O5" s="16" t="s">
        <v>265</v>
      </c>
      <c r="P5" s="16" t="s">
        <v>266</v>
      </c>
      <c r="Q5" s="16" t="s">
        <v>267</v>
      </c>
      <c r="R5" s="16" t="s">
        <v>268</v>
      </c>
      <c r="S5" s="16" t="s">
        <v>269</v>
      </c>
      <c r="T5" s="16" t="s">
        <v>270</v>
      </c>
      <c r="U5" s="16" t="s">
        <v>271</v>
      </c>
      <c r="V5" s="16" t="s">
        <v>272</v>
      </c>
      <c r="W5" s="16" t="s">
        <v>273</v>
      </c>
      <c r="X5" s="16" t="s">
        <v>274</v>
      </c>
      <c r="Y5" s="16" t="s">
        <v>275</v>
      </c>
      <c r="Z5" s="16" t="s">
        <v>276</v>
      </c>
      <c r="AA5" s="16" t="s">
        <v>277</v>
      </c>
      <c r="AB5" s="16" t="s">
        <v>278</v>
      </c>
      <c r="AC5" s="16" t="s">
        <v>279</v>
      </c>
      <c r="AD5" s="16" t="s">
        <v>280</v>
      </c>
      <c r="AE5" s="16" t="s">
        <v>281</v>
      </c>
      <c r="AF5" s="16" t="s">
        <v>282</v>
      </c>
      <c r="AG5" s="16" t="s">
        <v>283</v>
      </c>
    </row>
    <row r="6" spans="1:33">
      <c r="A6" s="16" t="s">
        <v>284</v>
      </c>
      <c r="B6" s="16" t="s">
        <v>285</v>
      </c>
      <c r="C6" s="16" t="s">
        <v>286</v>
      </c>
      <c r="E6" s="16" t="s">
        <v>287</v>
      </c>
      <c r="G6" s="16" t="s">
        <v>288</v>
      </c>
      <c r="H6" s="16" t="s">
        <v>289</v>
      </c>
      <c r="I6" s="16" t="s">
        <v>290</v>
      </c>
      <c r="J6" s="16" t="s">
        <v>291</v>
      </c>
      <c r="K6" s="16" t="s">
        <v>292</v>
      </c>
      <c r="L6" s="16" t="s">
        <v>14</v>
      </c>
      <c r="M6" s="16" t="s">
        <v>293</v>
      </c>
      <c r="N6" s="16" t="s">
        <v>294</v>
      </c>
      <c r="O6" s="16" t="s">
        <v>295</v>
      </c>
      <c r="P6" s="16" t="s">
        <v>296</v>
      </c>
      <c r="Q6" s="16" t="s">
        <v>297</v>
      </c>
      <c r="S6" s="16" t="s">
        <v>298</v>
      </c>
      <c r="T6" s="16" t="s">
        <v>299</v>
      </c>
      <c r="U6" s="16" t="s">
        <v>300</v>
      </c>
      <c r="V6" s="16" t="s">
        <v>301</v>
      </c>
      <c r="W6" s="16" t="s">
        <v>302</v>
      </c>
      <c r="X6" s="16" t="s">
        <v>303</v>
      </c>
      <c r="Y6" s="16" t="s">
        <v>304</v>
      </c>
      <c r="Z6" s="16" t="s">
        <v>21</v>
      </c>
      <c r="AA6" s="16" t="s">
        <v>305</v>
      </c>
      <c r="AB6" s="16" t="s">
        <v>306</v>
      </c>
      <c r="AC6" s="16" t="s">
        <v>307</v>
      </c>
      <c r="AD6" s="16" t="s">
        <v>308</v>
      </c>
      <c r="AE6" s="16" t="s">
        <v>234</v>
      </c>
      <c r="AF6" s="16" t="s">
        <v>309</v>
      </c>
    </row>
    <row r="7" spans="1:33">
      <c r="A7" s="16" t="s">
        <v>310</v>
      </c>
      <c r="B7" s="16" t="s">
        <v>311</v>
      </c>
      <c r="C7" s="16" t="s">
        <v>312</v>
      </c>
      <c r="E7" s="16" t="s">
        <v>313</v>
      </c>
      <c r="G7" s="16" t="s">
        <v>314</v>
      </c>
      <c r="H7" s="16" t="s">
        <v>315</v>
      </c>
      <c r="I7" s="16" t="s">
        <v>316</v>
      </c>
      <c r="J7" s="16" t="s">
        <v>317</v>
      </c>
      <c r="K7" s="16" t="s">
        <v>318</v>
      </c>
      <c r="L7" s="16" t="s">
        <v>319</v>
      </c>
      <c r="M7" s="16" t="s">
        <v>320</v>
      </c>
      <c r="N7" s="16" t="s">
        <v>321</v>
      </c>
      <c r="O7" s="16" t="s">
        <v>322</v>
      </c>
      <c r="P7" s="16" t="s">
        <v>323</v>
      </c>
      <c r="Q7" s="16" t="s">
        <v>324</v>
      </c>
      <c r="S7" s="16" t="s">
        <v>325</v>
      </c>
      <c r="T7" s="16" t="s">
        <v>326</v>
      </c>
      <c r="U7" s="16" t="s">
        <v>327</v>
      </c>
      <c r="V7" s="16" t="s">
        <v>328</v>
      </c>
      <c r="W7" s="16" t="s">
        <v>329</v>
      </c>
      <c r="X7" s="16" t="s">
        <v>330</v>
      </c>
      <c r="Y7" s="16" t="s">
        <v>331</v>
      </c>
      <c r="Z7" s="16" t="s">
        <v>332</v>
      </c>
      <c r="AA7" s="16" t="s">
        <v>333</v>
      </c>
      <c r="AB7" s="16" t="s">
        <v>334</v>
      </c>
      <c r="AC7" s="16" t="s">
        <v>335</v>
      </c>
      <c r="AD7" s="16" t="s">
        <v>336</v>
      </c>
      <c r="AE7" s="16" t="s">
        <v>14</v>
      </c>
      <c r="AF7" s="16" t="s">
        <v>337</v>
      </c>
    </row>
    <row r="8" spans="1:33">
      <c r="A8" s="16" t="s">
        <v>338</v>
      </c>
      <c r="B8" s="16" t="s">
        <v>339</v>
      </c>
      <c r="C8" s="16" t="s">
        <v>340</v>
      </c>
      <c r="E8" s="16" t="s">
        <v>341</v>
      </c>
      <c r="G8" s="16" t="s">
        <v>342</v>
      </c>
      <c r="H8" s="16" t="s">
        <v>343</v>
      </c>
      <c r="I8" s="16" t="s">
        <v>344</v>
      </c>
      <c r="J8" s="16" t="s">
        <v>345</v>
      </c>
      <c r="K8" s="16" t="s">
        <v>346</v>
      </c>
      <c r="L8" s="16" t="s">
        <v>347</v>
      </c>
      <c r="M8" s="16" t="s">
        <v>348</v>
      </c>
      <c r="N8" s="16" t="s">
        <v>349</v>
      </c>
      <c r="O8" s="16" t="s">
        <v>350</v>
      </c>
      <c r="P8" s="16" t="s">
        <v>351</v>
      </c>
      <c r="Q8" s="16" t="s">
        <v>352</v>
      </c>
      <c r="S8" s="16" t="s">
        <v>353</v>
      </c>
      <c r="T8" s="16" t="s">
        <v>354</v>
      </c>
      <c r="U8" s="16" t="s">
        <v>355</v>
      </c>
      <c r="V8" s="16" t="s">
        <v>356</v>
      </c>
      <c r="W8" s="16" t="s">
        <v>289</v>
      </c>
      <c r="X8" s="16" t="s">
        <v>357</v>
      </c>
      <c r="Y8" s="16" t="s">
        <v>358</v>
      </c>
      <c r="Z8" s="16" t="s">
        <v>359</v>
      </c>
      <c r="AA8" s="16" t="s">
        <v>360</v>
      </c>
      <c r="AB8" s="16" t="s">
        <v>361</v>
      </c>
      <c r="AC8" s="16" t="s">
        <v>362</v>
      </c>
      <c r="AD8" s="16" t="s">
        <v>363</v>
      </c>
      <c r="AE8" s="16" t="s">
        <v>364</v>
      </c>
    </row>
    <row r="9" spans="1:33">
      <c r="A9" s="16" t="s">
        <v>365</v>
      </c>
      <c r="B9" s="16" t="s">
        <v>366</v>
      </c>
      <c r="E9" s="16" t="s">
        <v>367</v>
      </c>
      <c r="G9" s="16" t="s">
        <v>212</v>
      </c>
      <c r="H9" s="16" t="s">
        <v>368</v>
      </c>
      <c r="I9" s="16" t="s">
        <v>369</v>
      </c>
      <c r="J9" s="16" t="s">
        <v>370</v>
      </c>
      <c r="K9" s="16" t="s">
        <v>371</v>
      </c>
      <c r="L9" s="16" t="s">
        <v>372</v>
      </c>
      <c r="M9" s="16" t="s">
        <v>373</v>
      </c>
      <c r="N9" s="16" t="s">
        <v>374</v>
      </c>
      <c r="O9" s="16" t="s">
        <v>375</v>
      </c>
      <c r="P9" s="16" t="s">
        <v>376</v>
      </c>
      <c r="Q9" s="16" t="s">
        <v>377</v>
      </c>
      <c r="S9" s="16" t="s">
        <v>378</v>
      </c>
      <c r="T9" s="16" t="s">
        <v>379</v>
      </c>
      <c r="U9" s="16" t="s">
        <v>380</v>
      </c>
      <c r="V9" s="16" t="s">
        <v>381</v>
      </c>
      <c r="W9" s="16" t="s">
        <v>382</v>
      </c>
      <c r="X9" s="16" t="s">
        <v>383</v>
      </c>
      <c r="Y9" s="16" t="s">
        <v>384</v>
      </c>
      <c r="Z9" s="16" t="s">
        <v>385</v>
      </c>
      <c r="AA9" s="16" t="s">
        <v>386</v>
      </c>
      <c r="AB9" s="16" t="s">
        <v>387</v>
      </c>
      <c r="AC9" s="16" t="s">
        <v>388</v>
      </c>
      <c r="AD9" s="16" t="s">
        <v>389</v>
      </c>
      <c r="AE9" s="16" t="s">
        <v>390</v>
      </c>
    </row>
    <row r="10" spans="1:33">
      <c r="A10" s="16" t="s">
        <v>391</v>
      </c>
      <c r="B10" s="16" t="s">
        <v>392</v>
      </c>
      <c r="E10" s="16" t="s">
        <v>393</v>
      </c>
      <c r="G10" s="16" t="s">
        <v>394</v>
      </c>
      <c r="H10" s="16" t="s">
        <v>15</v>
      </c>
      <c r="I10" s="16" t="s">
        <v>395</v>
      </c>
      <c r="J10" s="16" t="s">
        <v>396</v>
      </c>
      <c r="K10" s="16" t="s">
        <v>397</v>
      </c>
      <c r="L10" s="16" t="s">
        <v>398</v>
      </c>
      <c r="M10" s="16" t="s">
        <v>399</v>
      </c>
      <c r="N10" s="16" t="s">
        <v>400</v>
      </c>
      <c r="O10" s="16" t="s">
        <v>401</v>
      </c>
      <c r="P10" s="16" t="s">
        <v>402</v>
      </c>
      <c r="S10" s="16" t="s">
        <v>403</v>
      </c>
      <c r="T10" s="16" t="s">
        <v>404</v>
      </c>
      <c r="U10" s="16" t="s">
        <v>405</v>
      </c>
      <c r="V10" s="16" t="s">
        <v>406</v>
      </c>
      <c r="W10" s="16" t="s">
        <v>217</v>
      </c>
      <c r="X10" s="16" t="s">
        <v>407</v>
      </c>
      <c r="Y10" s="16" t="s">
        <v>408</v>
      </c>
      <c r="Z10" s="16" t="s">
        <v>409</v>
      </c>
      <c r="AA10" s="16" t="s">
        <v>410</v>
      </c>
      <c r="AB10" s="16" t="s">
        <v>14</v>
      </c>
      <c r="AC10" s="16" t="s">
        <v>411</v>
      </c>
      <c r="AD10" s="16" t="s">
        <v>412</v>
      </c>
      <c r="AE10" s="16" t="s">
        <v>413</v>
      </c>
    </row>
    <row r="11" spans="1:33">
      <c r="A11" s="16" t="s">
        <v>414</v>
      </c>
      <c r="B11" s="16" t="s">
        <v>415</v>
      </c>
      <c r="E11" s="16" t="s">
        <v>416</v>
      </c>
      <c r="G11" s="16" t="s">
        <v>417</v>
      </c>
      <c r="H11" s="16" t="s">
        <v>418</v>
      </c>
      <c r="I11" s="16" t="s">
        <v>419</v>
      </c>
      <c r="J11" s="16" t="s">
        <v>420</v>
      </c>
      <c r="K11" s="16" t="s">
        <v>421</v>
      </c>
      <c r="L11" s="16" t="s">
        <v>422</v>
      </c>
      <c r="M11" s="16" t="s">
        <v>423</v>
      </c>
      <c r="N11" s="16" t="s">
        <v>424</v>
      </c>
      <c r="O11" s="16" t="s">
        <v>425</v>
      </c>
      <c r="P11" s="16" t="s">
        <v>426</v>
      </c>
      <c r="S11" s="16" t="s">
        <v>427</v>
      </c>
      <c r="T11" s="16" t="s">
        <v>428</v>
      </c>
      <c r="U11" s="16" t="s">
        <v>429</v>
      </c>
      <c r="V11" s="16" t="s">
        <v>430</v>
      </c>
      <c r="W11" s="16" t="s">
        <v>431</v>
      </c>
      <c r="X11" s="16" t="s">
        <v>432</v>
      </c>
      <c r="Y11" s="16" t="s">
        <v>433</v>
      </c>
      <c r="Z11" s="16" t="s">
        <v>434</v>
      </c>
      <c r="AA11" s="16" t="s">
        <v>435</v>
      </c>
      <c r="AB11" s="16" t="s">
        <v>402</v>
      </c>
      <c r="AC11" s="16" t="s">
        <v>436</v>
      </c>
      <c r="AD11" s="16" t="s">
        <v>437</v>
      </c>
      <c r="AE11" s="16" t="s">
        <v>438</v>
      </c>
    </row>
    <row r="12" spans="1:33">
      <c r="A12" s="16" t="s">
        <v>439</v>
      </c>
      <c r="B12" s="16" t="s">
        <v>440</v>
      </c>
      <c r="E12" s="16" t="s">
        <v>441</v>
      </c>
      <c r="G12" s="16" t="s">
        <v>21</v>
      </c>
      <c r="H12" s="16" t="s">
        <v>218</v>
      </c>
      <c r="I12" s="16" t="s">
        <v>442</v>
      </c>
      <c r="J12" s="16" t="s">
        <v>443</v>
      </c>
      <c r="K12" s="16" t="s">
        <v>444</v>
      </c>
      <c r="L12" s="16" t="s">
        <v>445</v>
      </c>
      <c r="M12" s="16" t="s">
        <v>446</v>
      </c>
      <c r="N12" s="16" t="s">
        <v>447</v>
      </c>
      <c r="O12" s="16" t="s">
        <v>448</v>
      </c>
      <c r="P12" s="16" t="s">
        <v>449</v>
      </c>
      <c r="S12" s="16" t="s">
        <v>450</v>
      </c>
      <c r="T12" s="16" t="s">
        <v>451</v>
      </c>
      <c r="U12" s="16" t="s">
        <v>452</v>
      </c>
      <c r="V12" s="16" t="s">
        <v>453</v>
      </c>
      <c r="W12" s="16" t="s">
        <v>454</v>
      </c>
      <c r="X12" s="16" t="s">
        <v>455</v>
      </c>
      <c r="Y12" s="16" t="s">
        <v>456</v>
      </c>
      <c r="Z12" s="16" t="s">
        <v>457</v>
      </c>
      <c r="AA12" s="16" t="s">
        <v>458</v>
      </c>
      <c r="AB12" s="16" t="s">
        <v>459</v>
      </c>
      <c r="AC12" s="16" t="s">
        <v>460</v>
      </c>
      <c r="AD12" s="16" t="s">
        <v>461</v>
      </c>
      <c r="AE12" s="16" t="s">
        <v>462</v>
      </c>
    </row>
    <row r="13" spans="1:33">
      <c r="B13" s="16" t="s">
        <v>463</v>
      </c>
      <c r="E13" s="16" t="s">
        <v>464</v>
      </c>
      <c r="G13" s="16" t="s">
        <v>465</v>
      </c>
      <c r="H13" s="16" t="s">
        <v>466</v>
      </c>
      <c r="I13" s="16" t="s">
        <v>467</v>
      </c>
      <c r="J13" s="16" t="s">
        <v>468</v>
      </c>
      <c r="K13" s="16" t="s">
        <v>469</v>
      </c>
      <c r="L13" s="16" t="s">
        <v>172</v>
      </c>
      <c r="M13" s="16" t="s">
        <v>470</v>
      </c>
      <c r="N13" s="16" t="s">
        <v>471</v>
      </c>
      <c r="O13" s="16" t="s">
        <v>472</v>
      </c>
      <c r="P13" s="16" t="s">
        <v>473</v>
      </c>
      <c r="S13" s="16" t="s">
        <v>474</v>
      </c>
      <c r="T13" s="16" t="s">
        <v>475</v>
      </c>
      <c r="U13" s="16" t="s">
        <v>476</v>
      </c>
      <c r="V13" s="16" t="s">
        <v>477</v>
      </c>
      <c r="W13" s="16" t="s">
        <v>21</v>
      </c>
      <c r="X13" s="16" t="s">
        <v>478</v>
      </c>
      <c r="Y13" s="16" t="s">
        <v>479</v>
      </c>
      <c r="Z13" s="16" t="s">
        <v>480</v>
      </c>
      <c r="AA13" s="16" t="s">
        <v>481</v>
      </c>
      <c r="AB13" s="16" t="s">
        <v>482</v>
      </c>
      <c r="AC13" s="16" t="s">
        <v>483</v>
      </c>
      <c r="AD13" s="16" t="s">
        <v>484</v>
      </c>
      <c r="AE13" s="16" t="s">
        <v>257</v>
      </c>
    </row>
    <row r="14" spans="1:33">
      <c r="B14" s="16" t="s">
        <v>485</v>
      </c>
      <c r="E14" s="16" t="s">
        <v>486</v>
      </c>
      <c r="G14" s="16" t="s">
        <v>487</v>
      </c>
      <c r="H14" s="16" t="s">
        <v>16</v>
      </c>
      <c r="I14" s="16" t="s">
        <v>488</v>
      </c>
      <c r="J14" s="16" t="s">
        <v>489</v>
      </c>
      <c r="K14" s="16" t="s">
        <v>490</v>
      </c>
      <c r="L14" s="16" t="s">
        <v>491</v>
      </c>
      <c r="M14" s="16" t="s">
        <v>492</v>
      </c>
      <c r="N14" s="16" t="s">
        <v>493</v>
      </c>
      <c r="O14" s="16" t="s">
        <v>494</v>
      </c>
      <c r="P14" s="16" t="s">
        <v>495</v>
      </c>
      <c r="S14" s="16" t="s">
        <v>496</v>
      </c>
      <c r="T14" s="16" t="s">
        <v>497</v>
      </c>
      <c r="U14" s="16" t="s">
        <v>498</v>
      </c>
      <c r="V14" s="16" t="s">
        <v>498</v>
      </c>
      <c r="W14" s="16" t="s">
        <v>499</v>
      </c>
      <c r="X14" s="16" t="s">
        <v>500</v>
      </c>
      <c r="Y14" s="16" t="s">
        <v>501</v>
      </c>
      <c r="AA14" s="16" t="s">
        <v>502</v>
      </c>
      <c r="AB14" s="16" t="s">
        <v>503</v>
      </c>
      <c r="AC14" s="16" t="s">
        <v>504</v>
      </c>
      <c r="AD14" s="16" t="s">
        <v>505</v>
      </c>
      <c r="AE14" s="16" t="s">
        <v>506</v>
      </c>
    </row>
    <row r="15" spans="1:33">
      <c r="B15" s="16" t="s">
        <v>507</v>
      </c>
      <c r="E15" s="16" t="s">
        <v>211</v>
      </c>
      <c r="G15" s="16" t="s">
        <v>508</v>
      </c>
      <c r="H15" s="16" t="s">
        <v>509</v>
      </c>
      <c r="I15" s="16" t="s">
        <v>510</v>
      </c>
      <c r="J15" s="16" t="s">
        <v>511</v>
      </c>
      <c r="K15" s="16" t="s">
        <v>512</v>
      </c>
      <c r="L15" s="16" t="s">
        <v>513</v>
      </c>
      <c r="M15" s="16" t="s">
        <v>514</v>
      </c>
      <c r="N15" s="16" t="s">
        <v>515</v>
      </c>
      <c r="O15" s="16" t="s">
        <v>516</v>
      </c>
      <c r="P15" s="16" t="s">
        <v>517</v>
      </c>
      <c r="S15" s="16" t="s">
        <v>518</v>
      </c>
      <c r="T15" s="16" t="s">
        <v>519</v>
      </c>
      <c r="U15" s="16" t="s">
        <v>520</v>
      </c>
      <c r="V15" s="16" t="s">
        <v>521</v>
      </c>
      <c r="W15" s="16" t="s">
        <v>522</v>
      </c>
      <c r="X15" s="16" t="s">
        <v>523</v>
      </c>
      <c r="AA15" s="16" t="s">
        <v>524</v>
      </c>
      <c r="AB15" s="16" t="s">
        <v>525</v>
      </c>
      <c r="AC15" s="16" t="s">
        <v>526</v>
      </c>
      <c r="AD15" s="16" t="s">
        <v>527</v>
      </c>
      <c r="AE15" s="16" t="s">
        <v>528</v>
      </c>
    </row>
    <row r="16" spans="1:33">
      <c r="B16" s="16" t="s">
        <v>234</v>
      </c>
      <c r="E16" s="16" t="s">
        <v>529</v>
      </c>
      <c r="G16" s="16" t="s">
        <v>530</v>
      </c>
      <c r="H16" s="16" t="s">
        <v>531</v>
      </c>
      <c r="I16" s="16" t="s">
        <v>532</v>
      </c>
      <c r="J16" s="16" t="s">
        <v>533</v>
      </c>
      <c r="K16" s="16" t="s">
        <v>534</v>
      </c>
      <c r="L16" s="16" t="s">
        <v>535</v>
      </c>
      <c r="M16" s="16" t="s">
        <v>536</v>
      </c>
      <c r="N16" s="16" t="s">
        <v>537</v>
      </c>
      <c r="O16" s="16" t="s">
        <v>538</v>
      </c>
      <c r="P16" s="16" t="s">
        <v>539</v>
      </c>
      <c r="S16" s="16" t="s">
        <v>540</v>
      </c>
      <c r="T16" s="16" t="s">
        <v>541</v>
      </c>
      <c r="U16" s="16" t="s">
        <v>542</v>
      </c>
      <c r="V16" s="16" t="s">
        <v>543</v>
      </c>
      <c r="W16" s="16" t="s">
        <v>544</v>
      </c>
      <c r="X16" s="16" t="s">
        <v>545</v>
      </c>
      <c r="AB16" s="16" t="s">
        <v>546</v>
      </c>
      <c r="AC16" s="16" t="s">
        <v>547</v>
      </c>
      <c r="AD16" s="16" t="s">
        <v>548</v>
      </c>
      <c r="AE16" s="16" t="s">
        <v>549</v>
      </c>
    </row>
    <row r="17" spans="2:31">
      <c r="B17" s="16" t="s">
        <v>188</v>
      </c>
      <c r="E17" s="16" t="s">
        <v>550</v>
      </c>
      <c r="G17" s="16" t="s">
        <v>551</v>
      </c>
      <c r="H17" s="16" t="s">
        <v>552</v>
      </c>
      <c r="I17" s="16" t="s">
        <v>553</v>
      </c>
      <c r="J17" s="16" t="s">
        <v>554</v>
      </c>
      <c r="K17" s="16" t="s">
        <v>555</v>
      </c>
      <c r="L17" s="16" t="s">
        <v>556</v>
      </c>
      <c r="M17" s="16" t="s">
        <v>557</v>
      </c>
      <c r="N17" s="16" t="s">
        <v>558</v>
      </c>
      <c r="O17" s="16" t="s">
        <v>559</v>
      </c>
      <c r="P17" s="16" t="s">
        <v>560</v>
      </c>
      <c r="S17" s="16" t="s">
        <v>561</v>
      </c>
      <c r="U17" s="16" t="s">
        <v>562</v>
      </c>
      <c r="V17" s="16" t="s">
        <v>563</v>
      </c>
      <c r="W17" s="16" t="s">
        <v>564</v>
      </c>
      <c r="X17" s="16" t="s">
        <v>565</v>
      </c>
      <c r="AB17" s="16" t="s">
        <v>566</v>
      </c>
      <c r="AC17" s="16" t="s">
        <v>567</v>
      </c>
      <c r="AD17" s="16" t="s">
        <v>568</v>
      </c>
      <c r="AE17" s="16" t="s">
        <v>569</v>
      </c>
    </row>
    <row r="18" spans="2:31">
      <c r="B18" s="16" t="s">
        <v>306</v>
      </c>
      <c r="E18" s="16" t="s">
        <v>490</v>
      </c>
      <c r="G18" s="16" t="s">
        <v>570</v>
      </c>
      <c r="H18" s="16" t="s">
        <v>571</v>
      </c>
      <c r="I18" s="16" t="s">
        <v>572</v>
      </c>
      <c r="K18" s="16" t="s">
        <v>573</v>
      </c>
      <c r="L18" s="16" t="s">
        <v>574</v>
      </c>
      <c r="M18" s="16" t="s">
        <v>575</v>
      </c>
      <c r="N18" s="16" t="s">
        <v>576</v>
      </c>
      <c r="O18" s="16" t="s">
        <v>577</v>
      </c>
      <c r="P18" s="16" t="s">
        <v>578</v>
      </c>
      <c r="S18" s="16" t="s">
        <v>579</v>
      </c>
      <c r="U18" s="16" t="s">
        <v>580</v>
      </c>
      <c r="V18" s="16" t="s">
        <v>581</v>
      </c>
      <c r="W18" s="16" t="s">
        <v>582</v>
      </c>
      <c r="X18" s="16" t="s">
        <v>583</v>
      </c>
      <c r="AB18" s="16" t="s">
        <v>584</v>
      </c>
      <c r="AC18" s="16" t="s">
        <v>585</v>
      </c>
      <c r="AD18" s="16" t="s">
        <v>586</v>
      </c>
      <c r="AE18" s="16" t="s">
        <v>587</v>
      </c>
    </row>
    <row r="19" spans="2:31">
      <c r="B19" s="16" t="s">
        <v>588</v>
      </c>
      <c r="E19" s="16" t="s">
        <v>589</v>
      </c>
      <c r="G19" s="16" t="s">
        <v>590</v>
      </c>
      <c r="H19" s="16" t="s">
        <v>591</v>
      </c>
      <c r="I19" s="16" t="s">
        <v>592</v>
      </c>
      <c r="K19" s="16" t="s">
        <v>593</v>
      </c>
      <c r="L19" s="16" t="s">
        <v>594</v>
      </c>
      <c r="M19" s="16" t="s">
        <v>595</v>
      </c>
      <c r="N19" s="16" t="s">
        <v>596</v>
      </c>
      <c r="O19" s="16" t="s">
        <v>597</v>
      </c>
      <c r="P19" s="16" t="s">
        <v>598</v>
      </c>
      <c r="S19" s="16" t="s">
        <v>599</v>
      </c>
      <c r="U19" s="16" t="s">
        <v>600</v>
      </c>
      <c r="V19" s="16" t="s">
        <v>601</v>
      </c>
      <c r="W19" s="16" t="s">
        <v>602</v>
      </c>
      <c r="X19" s="16" t="s">
        <v>603</v>
      </c>
      <c r="AB19" s="16" t="s">
        <v>604</v>
      </c>
      <c r="AC19" s="16" t="s">
        <v>605</v>
      </c>
      <c r="AD19" s="16" t="s">
        <v>606</v>
      </c>
      <c r="AE19" s="16" t="s">
        <v>607</v>
      </c>
    </row>
    <row r="20" spans="2:31">
      <c r="B20" s="16" t="s">
        <v>608</v>
      </c>
      <c r="E20" s="16" t="s">
        <v>609</v>
      </c>
      <c r="G20" s="16" t="s">
        <v>610</v>
      </c>
      <c r="H20" s="16" t="s">
        <v>611</v>
      </c>
      <c r="I20" s="16" t="s">
        <v>612</v>
      </c>
      <c r="K20" s="16" t="s">
        <v>541</v>
      </c>
      <c r="L20" s="16" t="s">
        <v>613</v>
      </c>
      <c r="M20" s="16" t="s">
        <v>614</v>
      </c>
      <c r="N20" s="16" t="s">
        <v>615</v>
      </c>
      <c r="O20" s="16" t="s">
        <v>616</v>
      </c>
      <c r="P20" s="16" t="s">
        <v>617</v>
      </c>
      <c r="S20" s="16" t="s">
        <v>618</v>
      </c>
      <c r="U20" s="16" t="s">
        <v>619</v>
      </c>
      <c r="V20" s="16" t="s">
        <v>620</v>
      </c>
      <c r="W20" s="16" t="s">
        <v>621</v>
      </c>
      <c r="X20" s="16" t="s">
        <v>622</v>
      </c>
      <c r="AB20" s="16" t="s">
        <v>623</v>
      </c>
      <c r="AC20" s="16" t="s">
        <v>624</v>
      </c>
      <c r="AD20" s="16" t="s">
        <v>625</v>
      </c>
      <c r="AE20" s="16" t="s">
        <v>626</v>
      </c>
    </row>
    <row r="21" spans="2:31">
      <c r="B21" s="16" t="s">
        <v>627</v>
      </c>
      <c r="E21" s="16" t="s">
        <v>628</v>
      </c>
      <c r="G21" s="16" t="s">
        <v>629</v>
      </c>
      <c r="H21" s="16" t="s">
        <v>630</v>
      </c>
      <c r="I21" s="16" t="s">
        <v>31</v>
      </c>
      <c r="L21" s="16" t="s">
        <v>631</v>
      </c>
      <c r="M21" s="16" t="s">
        <v>632</v>
      </c>
      <c r="N21" s="16" t="s">
        <v>633</v>
      </c>
      <c r="O21" s="16" t="s">
        <v>634</v>
      </c>
      <c r="P21" s="16" t="s">
        <v>635</v>
      </c>
      <c r="S21" s="16" t="s">
        <v>636</v>
      </c>
      <c r="U21" s="16" t="s">
        <v>637</v>
      </c>
      <c r="V21" s="16" t="s">
        <v>638</v>
      </c>
      <c r="W21" s="16" t="s">
        <v>639</v>
      </c>
      <c r="X21" s="16" t="s">
        <v>640</v>
      </c>
      <c r="AB21" s="16" t="s">
        <v>641</v>
      </c>
      <c r="AC21" s="16" t="s">
        <v>642</v>
      </c>
      <c r="AD21" s="16" t="s">
        <v>643</v>
      </c>
      <c r="AE21" s="16" t="s">
        <v>644</v>
      </c>
    </row>
    <row r="22" spans="2:31">
      <c r="B22" s="16" t="s">
        <v>387</v>
      </c>
      <c r="E22" s="16" t="s">
        <v>645</v>
      </c>
      <c r="G22" s="16" t="s">
        <v>646</v>
      </c>
      <c r="H22" s="16" t="s">
        <v>647</v>
      </c>
      <c r="I22" s="16" t="s">
        <v>648</v>
      </c>
      <c r="L22" s="16" t="s">
        <v>649</v>
      </c>
      <c r="M22" s="16" t="s">
        <v>650</v>
      </c>
      <c r="N22" s="16" t="s">
        <v>651</v>
      </c>
      <c r="O22" s="16" t="s">
        <v>652</v>
      </c>
      <c r="P22" s="16" t="s">
        <v>653</v>
      </c>
      <c r="S22" s="16" t="s">
        <v>654</v>
      </c>
      <c r="U22" s="16" t="s">
        <v>655</v>
      </c>
      <c r="V22" s="16" t="s">
        <v>656</v>
      </c>
      <c r="W22" s="16" t="s">
        <v>445</v>
      </c>
      <c r="X22" s="16" t="s">
        <v>657</v>
      </c>
      <c r="AB22" s="16" t="s">
        <v>658</v>
      </c>
      <c r="AC22" s="16" t="s">
        <v>659</v>
      </c>
      <c r="AD22" s="16" t="s">
        <v>660</v>
      </c>
      <c r="AE22" s="16" t="s">
        <v>661</v>
      </c>
    </row>
    <row r="23" spans="2:31">
      <c r="B23" s="16" t="s">
        <v>662</v>
      </c>
      <c r="E23" s="16" t="s">
        <v>663</v>
      </c>
      <c r="G23" s="16" t="s">
        <v>664</v>
      </c>
      <c r="H23" s="16" t="s">
        <v>665</v>
      </c>
      <c r="I23" s="16" t="s">
        <v>666</v>
      </c>
      <c r="L23" s="16" t="s">
        <v>667</v>
      </c>
      <c r="M23" s="16" t="s">
        <v>668</v>
      </c>
      <c r="N23" s="16" t="s">
        <v>669</v>
      </c>
      <c r="O23" s="16" t="s">
        <v>670</v>
      </c>
      <c r="P23" s="16" t="s">
        <v>671</v>
      </c>
      <c r="S23" s="16" t="s">
        <v>672</v>
      </c>
      <c r="U23" s="16" t="s">
        <v>648</v>
      </c>
      <c r="V23" s="16" t="s">
        <v>673</v>
      </c>
      <c r="W23" s="16" t="s">
        <v>674</v>
      </c>
      <c r="X23" s="16" t="s">
        <v>675</v>
      </c>
      <c r="AB23" s="16" t="s">
        <v>676</v>
      </c>
      <c r="AC23" s="16" t="s">
        <v>677</v>
      </c>
      <c r="AD23" s="16" t="s">
        <v>678</v>
      </c>
      <c r="AE23" s="16" t="s">
        <v>679</v>
      </c>
    </row>
    <row r="24" spans="2:31">
      <c r="B24" s="16" t="s">
        <v>418</v>
      </c>
      <c r="E24" s="16" t="s">
        <v>680</v>
      </c>
      <c r="G24" s="16" t="s">
        <v>667</v>
      </c>
      <c r="H24" s="16" t="s">
        <v>681</v>
      </c>
      <c r="I24" s="16" t="s">
        <v>682</v>
      </c>
      <c r="L24" s="16" t="s">
        <v>683</v>
      </c>
      <c r="M24" s="16" t="s">
        <v>684</v>
      </c>
      <c r="N24" s="16" t="s">
        <v>685</v>
      </c>
      <c r="O24" s="16" t="s">
        <v>686</v>
      </c>
      <c r="P24" s="16" t="s">
        <v>687</v>
      </c>
      <c r="S24" s="16" t="s">
        <v>572</v>
      </c>
      <c r="U24" s="16" t="s">
        <v>688</v>
      </c>
      <c r="V24" s="16" t="s">
        <v>443</v>
      </c>
      <c r="W24" s="16" t="s">
        <v>689</v>
      </c>
      <c r="X24" s="16" t="s">
        <v>690</v>
      </c>
      <c r="AB24" s="16" t="s">
        <v>691</v>
      </c>
      <c r="AC24" s="16" t="s">
        <v>692</v>
      </c>
      <c r="AD24" s="16" t="s">
        <v>693</v>
      </c>
      <c r="AE24" s="16" t="s">
        <v>694</v>
      </c>
    </row>
    <row r="25" spans="2:31">
      <c r="B25" s="16" t="s">
        <v>695</v>
      </c>
      <c r="G25" s="16" t="s">
        <v>696</v>
      </c>
      <c r="H25" s="16" t="s">
        <v>697</v>
      </c>
      <c r="I25" s="16" t="s">
        <v>698</v>
      </c>
      <c r="L25" s="16" t="s">
        <v>699</v>
      </c>
      <c r="M25" s="16" t="s">
        <v>700</v>
      </c>
      <c r="N25" s="16" t="s">
        <v>701</v>
      </c>
      <c r="O25" s="16" t="s">
        <v>702</v>
      </c>
      <c r="P25" s="16" t="s">
        <v>530</v>
      </c>
      <c r="S25" s="16" t="s">
        <v>703</v>
      </c>
      <c r="U25" s="16" t="s">
        <v>704</v>
      </c>
      <c r="V25" s="16" t="s">
        <v>705</v>
      </c>
      <c r="W25" s="16" t="s">
        <v>706</v>
      </c>
      <c r="X25" s="16" t="s">
        <v>707</v>
      </c>
      <c r="AB25" s="16" t="s">
        <v>708</v>
      </c>
      <c r="AC25" s="16" t="s">
        <v>34</v>
      </c>
      <c r="AD25" s="16" t="s">
        <v>709</v>
      </c>
      <c r="AE25" s="16" t="s">
        <v>460</v>
      </c>
    </row>
    <row r="26" spans="2:31">
      <c r="B26" s="16" t="s">
        <v>710</v>
      </c>
      <c r="G26" s="16" t="s">
        <v>711</v>
      </c>
      <c r="H26" s="16" t="s">
        <v>712</v>
      </c>
      <c r="I26" s="16" t="s">
        <v>713</v>
      </c>
      <c r="L26" s="16" t="s">
        <v>714</v>
      </c>
      <c r="M26" s="16" t="s">
        <v>715</v>
      </c>
      <c r="N26" s="16" t="s">
        <v>716</v>
      </c>
      <c r="O26" s="16" t="s">
        <v>717</v>
      </c>
      <c r="P26" s="16" t="s">
        <v>718</v>
      </c>
      <c r="S26" s="16" t="s">
        <v>719</v>
      </c>
      <c r="U26" s="16" t="s">
        <v>720</v>
      </c>
      <c r="V26" s="16" t="s">
        <v>721</v>
      </c>
      <c r="W26" s="16" t="s">
        <v>722</v>
      </c>
      <c r="X26" s="16" t="s">
        <v>723</v>
      </c>
      <c r="AB26" s="16" t="s">
        <v>724</v>
      </c>
      <c r="AC26" s="16" t="s">
        <v>725</v>
      </c>
      <c r="AD26" s="16" t="s">
        <v>726</v>
      </c>
      <c r="AE26" s="16" t="s">
        <v>254</v>
      </c>
    </row>
    <row r="27" spans="2:31">
      <c r="B27" s="16" t="s">
        <v>727</v>
      </c>
      <c r="G27" s="16" t="s">
        <v>728</v>
      </c>
      <c r="H27" s="16" t="s">
        <v>729</v>
      </c>
      <c r="I27" s="16" t="s">
        <v>730</v>
      </c>
      <c r="L27" s="16" t="s">
        <v>731</v>
      </c>
      <c r="N27" s="16" t="s">
        <v>612</v>
      </c>
      <c r="O27" s="16" t="s">
        <v>732</v>
      </c>
      <c r="P27" s="16" t="s">
        <v>733</v>
      </c>
      <c r="S27" s="16" t="s">
        <v>734</v>
      </c>
      <c r="U27" s="16" t="s">
        <v>735</v>
      </c>
      <c r="V27" s="16" t="s">
        <v>736</v>
      </c>
      <c r="W27" s="16" t="s">
        <v>737</v>
      </c>
      <c r="X27" s="16" t="s">
        <v>738</v>
      </c>
      <c r="AB27" s="16" t="s">
        <v>739</v>
      </c>
      <c r="AC27" s="16" t="s">
        <v>740</v>
      </c>
      <c r="AD27" s="16" t="s">
        <v>741</v>
      </c>
      <c r="AE27" s="16" t="s">
        <v>742</v>
      </c>
    </row>
    <row r="28" spans="2:31">
      <c r="B28" s="16" t="s">
        <v>16</v>
      </c>
      <c r="G28" s="16" t="s">
        <v>743</v>
      </c>
      <c r="H28" s="16" t="s">
        <v>744</v>
      </c>
      <c r="I28" s="16" t="s">
        <v>745</v>
      </c>
      <c r="L28" s="16" t="s">
        <v>746</v>
      </c>
      <c r="N28" s="16" t="s">
        <v>747</v>
      </c>
      <c r="O28" s="16" t="s">
        <v>748</v>
      </c>
      <c r="P28" s="16" t="s">
        <v>749</v>
      </c>
      <c r="S28" s="16" t="s">
        <v>750</v>
      </c>
      <c r="U28" s="16" t="s">
        <v>751</v>
      </c>
      <c r="V28" s="16" t="s">
        <v>752</v>
      </c>
      <c r="W28" s="16" t="s">
        <v>753</v>
      </c>
      <c r="X28" s="16" t="s">
        <v>754</v>
      </c>
      <c r="AB28" s="16" t="s">
        <v>755</v>
      </c>
      <c r="AD28" s="16" t="s">
        <v>756</v>
      </c>
      <c r="AE28" s="16" t="s">
        <v>757</v>
      </c>
    </row>
    <row r="29" spans="2:31">
      <c r="B29" s="16" t="s">
        <v>758</v>
      </c>
      <c r="G29" s="16" t="s">
        <v>759</v>
      </c>
      <c r="H29" s="16" t="s">
        <v>760</v>
      </c>
      <c r="L29" s="16" t="s">
        <v>761</v>
      </c>
      <c r="N29" s="16" t="s">
        <v>762</v>
      </c>
      <c r="O29" s="16" t="s">
        <v>763</v>
      </c>
      <c r="P29" s="16" t="s">
        <v>764</v>
      </c>
      <c r="S29" s="16" t="s">
        <v>765</v>
      </c>
      <c r="U29" s="16" t="s">
        <v>766</v>
      </c>
      <c r="V29" s="16" t="s">
        <v>700</v>
      </c>
      <c r="W29" s="16" t="s">
        <v>767</v>
      </c>
      <c r="X29" s="16" t="s">
        <v>365</v>
      </c>
      <c r="AB29" s="16" t="s">
        <v>530</v>
      </c>
      <c r="AD29" s="16" t="s">
        <v>768</v>
      </c>
      <c r="AE29" s="16" t="s">
        <v>769</v>
      </c>
    </row>
    <row r="30" spans="2:31">
      <c r="B30" s="16" t="s">
        <v>770</v>
      </c>
      <c r="G30" s="16" t="s">
        <v>771</v>
      </c>
      <c r="H30" s="16" t="s">
        <v>772</v>
      </c>
      <c r="L30" s="16" t="s">
        <v>773</v>
      </c>
      <c r="N30" s="16" t="s">
        <v>774</v>
      </c>
      <c r="O30" s="16" t="s">
        <v>775</v>
      </c>
      <c r="P30" s="16" t="s">
        <v>776</v>
      </c>
      <c r="S30" s="16" t="s">
        <v>777</v>
      </c>
      <c r="U30" s="16" t="s">
        <v>778</v>
      </c>
      <c r="V30" s="16" t="s">
        <v>779</v>
      </c>
      <c r="W30" s="16" t="s">
        <v>780</v>
      </c>
      <c r="X30" s="16" t="s">
        <v>781</v>
      </c>
      <c r="AB30" s="16" t="s">
        <v>782</v>
      </c>
      <c r="AD30" s="16" t="s">
        <v>783</v>
      </c>
      <c r="AE30" s="16" t="s">
        <v>705</v>
      </c>
    </row>
    <row r="31" spans="2:31">
      <c r="B31" s="16" t="s">
        <v>784</v>
      </c>
      <c r="G31" s="16" t="s">
        <v>785</v>
      </c>
      <c r="H31" s="16" t="s">
        <v>786</v>
      </c>
      <c r="L31" s="16" t="s">
        <v>787</v>
      </c>
      <c r="N31" s="16" t="s">
        <v>788</v>
      </c>
      <c r="O31" s="16" t="s">
        <v>789</v>
      </c>
      <c r="P31" s="16" t="s">
        <v>790</v>
      </c>
      <c r="S31" s="16" t="s">
        <v>791</v>
      </c>
      <c r="U31" s="16" t="s">
        <v>792</v>
      </c>
      <c r="W31" s="16" t="s">
        <v>793</v>
      </c>
      <c r="X31" s="16" t="s">
        <v>794</v>
      </c>
      <c r="AB31" s="16" t="s">
        <v>795</v>
      </c>
      <c r="AD31" s="16" t="s">
        <v>796</v>
      </c>
      <c r="AE31" s="16" t="s">
        <v>797</v>
      </c>
    </row>
    <row r="32" spans="2:31">
      <c r="B32" s="16" t="s">
        <v>798</v>
      </c>
      <c r="G32" s="16" t="s">
        <v>799</v>
      </c>
      <c r="H32" s="16" t="s">
        <v>800</v>
      </c>
      <c r="L32" s="16" t="s">
        <v>801</v>
      </c>
      <c r="N32" s="16" t="s">
        <v>802</v>
      </c>
      <c r="P32" s="16" t="s">
        <v>803</v>
      </c>
      <c r="S32" s="16" t="s">
        <v>804</v>
      </c>
      <c r="W32" s="16" t="s">
        <v>805</v>
      </c>
      <c r="X32" s="16" t="s">
        <v>806</v>
      </c>
      <c r="AB32" s="16" t="s">
        <v>807</v>
      </c>
      <c r="AD32" s="16" t="s">
        <v>808</v>
      </c>
      <c r="AE32" s="16" t="s">
        <v>809</v>
      </c>
    </row>
    <row r="33" spans="2:31">
      <c r="B33" s="16" t="s">
        <v>810</v>
      </c>
      <c r="G33" s="16" t="s">
        <v>811</v>
      </c>
      <c r="H33" s="16" t="s">
        <v>812</v>
      </c>
      <c r="L33" s="16" t="s">
        <v>813</v>
      </c>
      <c r="P33" s="16" t="s">
        <v>814</v>
      </c>
      <c r="S33" s="16" t="s">
        <v>815</v>
      </c>
      <c r="W33" s="16" t="s">
        <v>816</v>
      </c>
      <c r="X33" s="16" t="s">
        <v>817</v>
      </c>
      <c r="AB33" s="16" t="s">
        <v>818</v>
      </c>
      <c r="AD33" s="16" t="s">
        <v>819</v>
      </c>
      <c r="AE33" s="16" t="s">
        <v>677</v>
      </c>
    </row>
    <row r="34" spans="2:31">
      <c r="B34" s="16" t="s">
        <v>820</v>
      </c>
      <c r="G34" s="16" t="s">
        <v>821</v>
      </c>
      <c r="H34" s="16" t="s">
        <v>822</v>
      </c>
      <c r="L34" s="16" t="s">
        <v>823</v>
      </c>
      <c r="P34" s="16" t="s">
        <v>824</v>
      </c>
      <c r="S34" s="16" t="s">
        <v>825</v>
      </c>
      <c r="W34" s="16" t="s">
        <v>460</v>
      </c>
      <c r="X34" s="16" t="s">
        <v>456</v>
      </c>
      <c r="AB34" s="16" t="s">
        <v>826</v>
      </c>
      <c r="AD34" s="16" t="s">
        <v>827</v>
      </c>
      <c r="AE34" s="16" t="s">
        <v>828</v>
      </c>
    </row>
    <row r="35" spans="2:31">
      <c r="B35" s="16" t="s">
        <v>829</v>
      </c>
      <c r="G35" s="16" t="s">
        <v>830</v>
      </c>
      <c r="H35" s="16" t="s">
        <v>831</v>
      </c>
      <c r="L35" s="16" t="s">
        <v>832</v>
      </c>
      <c r="P35" s="16" t="s">
        <v>833</v>
      </c>
      <c r="S35" s="16" t="s">
        <v>834</v>
      </c>
      <c r="W35" s="16" t="s">
        <v>835</v>
      </c>
      <c r="X35" s="16" t="s">
        <v>836</v>
      </c>
      <c r="AB35" s="16" t="s">
        <v>837</v>
      </c>
      <c r="AD35" s="16" t="s">
        <v>838</v>
      </c>
      <c r="AE35" s="16" t="s">
        <v>839</v>
      </c>
    </row>
    <row r="36" spans="2:31">
      <c r="B36" s="16" t="s">
        <v>840</v>
      </c>
      <c r="G36" s="16" t="s">
        <v>841</v>
      </c>
      <c r="H36" s="16" t="s">
        <v>842</v>
      </c>
      <c r="L36" s="16" t="s">
        <v>843</v>
      </c>
      <c r="P36" s="16" t="s">
        <v>844</v>
      </c>
      <c r="S36" s="16" t="s">
        <v>845</v>
      </c>
      <c r="W36" s="16" t="s">
        <v>846</v>
      </c>
      <c r="X36" s="16" t="s">
        <v>847</v>
      </c>
      <c r="AB36" s="16" t="s">
        <v>848</v>
      </c>
      <c r="AD36" s="16" t="s">
        <v>849</v>
      </c>
      <c r="AE36" s="16" t="s">
        <v>850</v>
      </c>
    </row>
    <row r="37" spans="2:31">
      <c r="B37" s="16" t="s">
        <v>851</v>
      </c>
      <c r="G37" s="16" t="s">
        <v>852</v>
      </c>
      <c r="H37" s="16" t="s">
        <v>853</v>
      </c>
      <c r="L37" s="16" t="s">
        <v>854</v>
      </c>
      <c r="P37" s="16" t="s">
        <v>855</v>
      </c>
      <c r="S37" s="16" t="s">
        <v>856</v>
      </c>
      <c r="W37" s="16" t="s">
        <v>857</v>
      </c>
      <c r="X37" s="16" t="s">
        <v>858</v>
      </c>
      <c r="AB37" s="16" t="s">
        <v>859</v>
      </c>
      <c r="AD37" s="16" t="s">
        <v>860</v>
      </c>
      <c r="AE37" s="16" t="s">
        <v>861</v>
      </c>
    </row>
    <row r="38" spans="2:31">
      <c r="B38" s="16" t="s">
        <v>862</v>
      </c>
      <c r="G38" s="16" t="s">
        <v>823</v>
      </c>
      <c r="H38" s="16" t="s">
        <v>863</v>
      </c>
      <c r="L38" s="16" t="s">
        <v>34</v>
      </c>
      <c r="P38" s="16" t="s">
        <v>477</v>
      </c>
      <c r="S38" s="16" t="s">
        <v>864</v>
      </c>
      <c r="W38" s="16" t="s">
        <v>865</v>
      </c>
      <c r="X38" s="16" t="s">
        <v>866</v>
      </c>
      <c r="AB38" s="16" t="s">
        <v>867</v>
      </c>
      <c r="AD38" s="16" t="s">
        <v>868</v>
      </c>
      <c r="AE38" s="16" t="s">
        <v>869</v>
      </c>
    </row>
    <row r="39" spans="2:31">
      <c r="B39" s="16" t="s">
        <v>870</v>
      </c>
      <c r="G39" s="16" t="s">
        <v>871</v>
      </c>
      <c r="H39" s="16" t="s">
        <v>872</v>
      </c>
      <c r="L39" s="16" t="s">
        <v>873</v>
      </c>
      <c r="P39" s="16" t="s">
        <v>874</v>
      </c>
      <c r="W39" s="16" t="s">
        <v>875</v>
      </c>
      <c r="X39" s="16" t="s">
        <v>876</v>
      </c>
      <c r="AB39" s="16" t="s">
        <v>496</v>
      </c>
      <c r="AD39" s="16" t="s">
        <v>877</v>
      </c>
      <c r="AE39" s="16" t="s">
        <v>878</v>
      </c>
    </row>
    <row r="40" spans="2:31">
      <c r="B40" s="16" t="s">
        <v>658</v>
      </c>
      <c r="G40" s="16" t="s">
        <v>879</v>
      </c>
      <c r="H40" s="16" t="s">
        <v>880</v>
      </c>
      <c r="L40" s="16" t="s">
        <v>881</v>
      </c>
      <c r="P40" s="16" t="s">
        <v>882</v>
      </c>
      <c r="W40" s="16" t="s">
        <v>883</v>
      </c>
      <c r="X40" s="16" t="s">
        <v>884</v>
      </c>
      <c r="AB40" s="16" t="s">
        <v>885</v>
      </c>
      <c r="AD40" s="16" t="s">
        <v>886</v>
      </c>
      <c r="AE40" s="16" t="s">
        <v>887</v>
      </c>
    </row>
    <row r="41" spans="2:31">
      <c r="B41" s="16" t="s">
        <v>380</v>
      </c>
      <c r="G41" s="16" t="s">
        <v>888</v>
      </c>
      <c r="H41" s="16" t="s">
        <v>889</v>
      </c>
      <c r="L41" s="16" t="s">
        <v>890</v>
      </c>
      <c r="P41" s="16" t="s">
        <v>891</v>
      </c>
      <c r="W41" s="16" t="s">
        <v>29</v>
      </c>
      <c r="X41" s="16" t="s">
        <v>892</v>
      </c>
      <c r="AB41" s="16" t="s">
        <v>893</v>
      </c>
      <c r="AD41" s="16" t="s">
        <v>894</v>
      </c>
      <c r="AE41" s="16" t="s">
        <v>895</v>
      </c>
    </row>
    <row r="42" spans="2:31">
      <c r="B42" s="16" t="s">
        <v>896</v>
      </c>
      <c r="G42" s="16" t="s">
        <v>897</v>
      </c>
      <c r="H42" s="16" t="s">
        <v>898</v>
      </c>
      <c r="L42" s="16" t="s">
        <v>899</v>
      </c>
      <c r="P42" s="16" t="s">
        <v>900</v>
      </c>
      <c r="W42" s="16" t="s">
        <v>901</v>
      </c>
      <c r="AB42" s="16" t="s">
        <v>902</v>
      </c>
      <c r="AD42" s="16" t="s">
        <v>903</v>
      </c>
      <c r="AE42" s="16" t="s">
        <v>904</v>
      </c>
    </row>
    <row r="43" spans="2:31">
      <c r="B43" s="16" t="s">
        <v>905</v>
      </c>
      <c r="G43" s="16" t="s">
        <v>906</v>
      </c>
      <c r="H43" s="16" t="s">
        <v>907</v>
      </c>
      <c r="L43" s="16" t="s">
        <v>908</v>
      </c>
      <c r="P43" s="16" t="s">
        <v>909</v>
      </c>
      <c r="W43" s="16" t="s">
        <v>910</v>
      </c>
      <c r="AB43" s="16" t="s">
        <v>911</v>
      </c>
      <c r="AD43" s="16" t="s">
        <v>912</v>
      </c>
      <c r="AE43" s="16" t="s">
        <v>913</v>
      </c>
    </row>
    <row r="44" spans="2:31">
      <c r="B44" s="16" t="s">
        <v>914</v>
      </c>
      <c r="G44" s="16" t="s">
        <v>915</v>
      </c>
      <c r="H44" s="16" t="s">
        <v>916</v>
      </c>
      <c r="P44" s="16" t="s">
        <v>917</v>
      </c>
      <c r="W44" s="16" t="s">
        <v>918</v>
      </c>
      <c r="AB44" s="16" t="s">
        <v>919</v>
      </c>
      <c r="AD44" s="16" t="s">
        <v>854</v>
      </c>
    </row>
    <row r="45" spans="2:31">
      <c r="B45" s="16" t="s">
        <v>920</v>
      </c>
      <c r="G45" s="16" t="s">
        <v>921</v>
      </c>
      <c r="H45" s="16" t="s">
        <v>922</v>
      </c>
      <c r="P45" s="16" t="s">
        <v>923</v>
      </c>
      <c r="W45" s="16" t="s">
        <v>924</v>
      </c>
      <c r="AB45" s="16" t="s">
        <v>925</v>
      </c>
      <c r="AD45" s="16" t="s">
        <v>926</v>
      </c>
    </row>
    <row r="46" spans="2:31">
      <c r="B46" s="16" t="s">
        <v>927</v>
      </c>
      <c r="G46" s="16" t="s">
        <v>541</v>
      </c>
      <c r="H46" s="16" t="s">
        <v>928</v>
      </c>
      <c r="P46" s="16" t="s">
        <v>929</v>
      </c>
      <c r="W46" s="16" t="s">
        <v>930</v>
      </c>
      <c r="AB46" s="16" t="s">
        <v>931</v>
      </c>
      <c r="AD46" s="16" t="s">
        <v>932</v>
      </c>
    </row>
    <row r="47" spans="2:31">
      <c r="B47" s="16" t="s">
        <v>933</v>
      </c>
      <c r="G47" s="16" t="s">
        <v>934</v>
      </c>
      <c r="H47" s="16" t="s">
        <v>935</v>
      </c>
      <c r="P47" s="16" t="s">
        <v>936</v>
      </c>
      <c r="W47" s="16" t="s">
        <v>199</v>
      </c>
      <c r="AB47" s="16" t="s">
        <v>937</v>
      </c>
      <c r="AD47" s="16" t="s">
        <v>938</v>
      </c>
    </row>
    <row r="48" spans="2:31">
      <c r="B48" s="16" t="s">
        <v>939</v>
      </c>
      <c r="H48" s="16" t="s">
        <v>940</v>
      </c>
      <c r="P48" s="16" t="s">
        <v>941</v>
      </c>
      <c r="W48" s="16" t="s">
        <v>942</v>
      </c>
      <c r="AB48" s="16" t="s">
        <v>650</v>
      </c>
      <c r="AD48" s="16" t="s">
        <v>943</v>
      </c>
    </row>
    <row r="49" spans="2:28">
      <c r="B49" s="16" t="s">
        <v>944</v>
      </c>
      <c r="H49" s="16" t="s">
        <v>945</v>
      </c>
      <c r="P49" s="16" t="s">
        <v>946</v>
      </c>
      <c r="W49" s="16" t="s">
        <v>947</v>
      </c>
      <c r="AB49" s="16" t="s">
        <v>948</v>
      </c>
    </row>
    <row r="50" spans="2:28">
      <c r="B50" s="16" t="s">
        <v>949</v>
      </c>
      <c r="H50" s="16" t="s">
        <v>254</v>
      </c>
      <c r="P50" s="16" t="s">
        <v>950</v>
      </c>
      <c r="W50" s="16" t="s">
        <v>951</v>
      </c>
      <c r="AB50" s="16" t="s">
        <v>952</v>
      </c>
    </row>
    <row r="51" spans="2:28">
      <c r="B51" s="16" t="s">
        <v>953</v>
      </c>
      <c r="H51" s="16" t="s">
        <v>954</v>
      </c>
      <c r="P51" s="16" t="s">
        <v>955</v>
      </c>
      <c r="W51" s="16" t="s">
        <v>956</v>
      </c>
      <c r="AB51" s="16" t="s">
        <v>957</v>
      </c>
    </row>
    <row r="52" spans="2:28">
      <c r="B52" s="16" t="s">
        <v>958</v>
      </c>
      <c r="H52" s="16" t="s">
        <v>959</v>
      </c>
      <c r="P52" s="16" t="s">
        <v>960</v>
      </c>
      <c r="W52" s="16" t="s">
        <v>961</v>
      </c>
      <c r="AB52" s="16" t="s">
        <v>962</v>
      </c>
    </row>
    <row r="53" spans="2:28">
      <c r="B53" s="16" t="s">
        <v>963</v>
      </c>
      <c r="H53" s="16" t="s">
        <v>964</v>
      </c>
      <c r="P53" s="16" t="s">
        <v>594</v>
      </c>
      <c r="W53" s="16" t="s">
        <v>965</v>
      </c>
      <c r="AB53" s="16" t="s">
        <v>966</v>
      </c>
    </row>
    <row r="54" spans="2:28">
      <c r="B54" s="16" t="s">
        <v>477</v>
      </c>
      <c r="H54" s="16" t="s">
        <v>967</v>
      </c>
      <c r="P54" s="16" t="s">
        <v>968</v>
      </c>
      <c r="W54" s="16" t="s">
        <v>969</v>
      </c>
      <c r="AB54" s="16" t="s">
        <v>970</v>
      </c>
    </row>
    <row r="55" spans="2:28">
      <c r="B55" s="16" t="s">
        <v>496</v>
      </c>
      <c r="H55" s="16" t="s">
        <v>268</v>
      </c>
      <c r="P55" s="16" t="s">
        <v>971</v>
      </c>
      <c r="W55" s="16" t="s">
        <v>972</v>
      </c>
      <c r="AB55" s="16" t="s">
        <v>973</v>
      </c>
    </row>
    <row r="56" spans="2:28">
      <c r="B56" s="16" t="s">
        <v>974</v>
      </c>
      <c r="H56" s="16" t="s">
        <v>975</v>
      </c>
      <c r="P56" s="16" t="s">
        <v>976</v>
      </c>
      <c r="W56" s="16" t="s">
        <v>841</v>
      </c>
      <c r="AB56" s="16" t="s">
        <v>977</v>
      </c>
    </row>
    <row r="57" spans="2:28">
      <c r="B57" s="16" t="s">
        <v>978</v>
      </c>
      <c r="H57" s="16" t="s">
        <v>979</v>
      </c>
      <c r="P57" s="16" t="s">
        <v>980</v>
      </c>
      <c r="W57" s="16" t="s">
        <v>981</v>
      </c>
      <c r="AB57" s="16" t="s">
        <v>982</v>
      </c>
    </row>
    <row r="58" spans="2:28">
      <c r="B58" s="16" t="s">
        <v>983</v>
      </c>
      <c r="H58" s="16" t="s">
        <v>984</v>
      </c>
      <c r="P58" s="16" t="s">
        <v>985</v>
      </c>
      <c r="W58" s="16" t="s">
        <v>986</v>
      </c>
      <c r="AB58" s="16" t="s">
        <v>987</v>
      </c>
    </row>
    <row r="59" spans="2:28">
      <c r="B59" s="16" t="s">
        <v>988</v>
      </c>
      <c r="H59" s="16" t="s">
        <v>989</v>
      </c>
      <c r="P59" s="16" t="s">
        <v>883</v>
      </c>
      <c r="W59" s="16" t="s">
        <v>990</v>
      </c>
      <c r="AB59" s="16" t="s">
        <v>991</v>
      </c>
    </row>
    <row r="60" spans="2:28">
      <c r="B60" s="16" t="s">
        <v>992</v>
      </c>
      <c r="H60" s="16" t="s">
        <v>993</v>
      </c>
      <c r="P60" s="16" t="s">
        <v>29</v>
      </c>
      <c r="W60" s="16" t="s">
        <v>994</v>
      </c>
      <c r="AB60" s="16" t="s">
        <v>995</v>
      </c>
    </row>
    <row r="61" spans="2:28">
      <c r="B61" s="16" t="s">
        <v>996</v>
      </c>
      <c r="H61" s="16" t="s">
        <v>997</v>
      </c>
      <c r="P61" s="16" t="s">
        <v>998</v>
      </c>
      <c r="W61" s="16" t="s">
        <v>999</v>
      </c>
      <c r="AB61" s="16" t="s">
        <v>1000</v>
      </c>
    </row>
    <row r="62" spans="2:28">
      <c r="B62" s="16" t="s">
        <v>1001</v>
      </c>
      <c r="H62" s="16" t="s">
        <v>1002</v>
      </c>
      <c r="P62" s="16" t="s">
        <v>1003</v>
      </c>
      <c r="W62" s="16" t="s">
        <v>1004</v>
      </c>
      <c r="AB62" s="16" t="s">
        <v>1005</v>
      </c>
    </row>
    <row r="63" spans="2:28">
      <c r="B63" s="16" t="s">
        <v>935</v>
      </c>
      <c r="H63" s="16" t="s">
        <v>1006</v>
      </c>
      <c r="P63" s="16" t="s">
        <v>1007</v>
      </c>
      <c r="W63" s="16" t="s">
        <v>1008</v>
      </c>
      <c r="AB63" s="16" t="s">
        <v>1009</v>
      </c>
    </row>
    <row r="64" spans="2:28">
      <c r="B64" s="16" t="s">
        <v>1010</v>
      </c>
      <c r="H64" s="16" t="s">
        <v>1011</v>
      </c>
      <c r="P64" s="16" t="s">
        <v>1012</v>
      </c>
      <c r="W64" s="16" t="s">
        <v>1013</v>
      </c>
      <c r="AB64" s="16" t="s">
        <v>1014</v>
      </c>
    </row>
    <row r="65" spans="2:28">
      <c r="B65" s="16" t="s">
        <v>1015</v>
      </c>
      <c r="H65" s="16" t="s">
        <v>1016</v>
      </c>
      <c r="P65" s="16" t="s">
        <v>1017</v>
      </c>
      <c r="W65" s="16" t="s">
        <v>1018</v>
      </c>
      <c r="AB65" s="16" t="s">
        <v>1019</v>
      </c>
    </row>
    <row r="66" spans="2:28">
      <c r="B66" s="16" t="s">
        <v>1020</v>
      </c>
      <c r="H66" s="16" t="s">
        <v>699</v>
      </c>
      <c r="P66" s="16" t="s">
        <v>1021</v>
      </c>
      <c r="AB66" s="16" t="s">
        <v>1022</v>
      </c>
    </row>
    <row r="67" spans="2:28">
      <c r="B67" s="16" t="s">
        <v>460</v>
      </c>
      <c r="H67" s="16" t="s">
        <v>1023</v>
      </c>
      <c r="P67" s="16" t="s">
        <v>1024</v>
      </c>
      <c r="AB67" s="16" t="s">
        <v>1025</v>
      </c>
    </row>
    <row r="68" spans="2:28">
      <c r="B68" s="16" t="s">
        <v>1026</v>
      </c>
      <c r="H68" s="16" t="s">
        <v>1027</v>
      </c>
      <c r="P68" s="16" t="s">
        <v>1028</v>
      </c>
      <c r="AB68" s="16" t="s">
        <v>1029</v>
      </c>
    </row>
    <row r="69" spans="2:28">
      <c r="B69" s="16" t="s">
        <v>1030</v>
      </c>
      <c r="H69" s="16" t="s">
        <v>1031</v>
      </c>
      <c r="P69" s="16" t="s">
        <v>1032</v>
      </c>
      <c r="AB69" s="16" t="s">
        <v>32</v>
      </c>
    </row>
    <row r="70" spans="2:28">
      <c r="B70" s="16" t="s">
        <v>1033</v>
      </c>
      <c r="H70" s="16" t="s">
        <v>1034</v>
      </c>
      <c r="P70" s="16" t="s">
        <v>1035</v>
      </c>
      <c r="AB70" s="16" t="s">
        <v>1036</v>
      </c>
    </row>
    <row r="71" spans="2:28">
      <c r="B71" s="16" t="s">
        <v>1037</v>
      </c>
      <c r="H71" s="16" t="s">
        <v>1038</v>
      </c>
      <c r="P71" s="16" t="s">
        <v>1039</v>
      </c>
      <c r="AB71" s="16" t="s">
        <v>1040</v>
      </c>
    </row>
    <row r="72" spans="2:28">
      <c r="B72" s="16" t="s">
        <v>1041</v>
      </c>
      <c r="H72" s="16" t="s">
        <v>1042</v>
      </c>
      <c r="P72" s="16" t="s">
        <v>1043</v>
      </c>
      <c r="AB72" s="16" t="s">
        <v>1044</v>
      </c>
    </row>
    <row r="73" spans="2:28">
      <c r="B73" s="16" t="s">
        <v>1045</v>
      </c>
      <c r="H73" s="16" t="s">
        <v>1046</v>
      </c>
      <c r="P73" s="16" t="s">
        <v>1047</v>
      </c>
      <c r="AB73" s="16" t="s">
        <v>1048</v>
      </c>
    </row>
    <row r="74" spans="2:28">
      <c r="B74" s="16" t="s">
        <v>29</v>
      </c>
      <c r="H74" s="16" t="s">
        <v>1049</v>
      </c>
      <c r="P74" s="16" t="s">
        <v>1050</v>
      </c>
      <c r="AB74" s="16" t="s">
        <v>433</v>
      </c>
    </row>
    <row r="75" spans="2:28">
      <c r="B75" s="16" t="s">
        <v>1051</v>
      </c>
      <c r="H75" s="16" t="s">
        <v>1052</v>
      </c>
      <c r="P75" s="16" t="s">
        <v>1053</v>
      </c>
      <c r="AB75" s="16" t="s">
        <v>1054</v>
      </c>
    </row>
    <row r="76" spans="2:28">
      <c r="B76" s="16" t="s">
        <v>1055</v>
      </c>
      <c r="H76" s="16" t="s">
        <v>1056</v>
      </c>
      <c r="P76" s="16" t="s">
        <v>1057</v>
      </c>
      <c r="AB76" s="16" t="s">
        <v>986</v>
      </c>
    </row>
    <row r="77" spans="2:28">
      <c r="B77" s="16" t="s">
        <v>1058</v>
      </c>
      <c r="H77" s="16" t="s">
        <v>1059</v>
      </c>
      <c r="P77" s="16" t="s">
        <v>951</v>
      </c>
      <c r="AB77" s="16" t="s">
        <v>1060</v>
      </c>
    </row>
    <row r="78" spans="2:28">
      <c r="B78" s="16" t="s">
        <v>1061</v>
      </c>
      <c r="H78" s="16" t="s">
        <v>1062</v>
      </c>
      <c r="P78" s="16" t="s">
        <v>1063</v>
      </c>
      <c r="AB78" s="16" t="s">
        <v>1064</v>
      </c>
    </row>
    <row r="79" spans="2:28">
      <c r="B79" s="16" t="s">
        <v>1065</v>
      </c>
      <c r="H79" s="16" t="s">
        <v>1066</v>
      </c>
      <c r="P79" s="16" t="s">
        <v>969</v>
      </c>
      <c r="AB79" s="16" t="s">
        <v>1067</v>
      </c>
    </row>
    <row r="80" spans="2:28">
      <c r="B80" s="16" t="s">
        <v>1068</v>
      </c>
      <c r="H80" s="16" t="s">
        <v>1069</v>
      </c>
      <c r="P80" s="16" t="s">
        <v>817</v>
      </c>
      <c r="AB80" s="16" t="s">
        <v>1070</v>
      </c>
    </row>
    <row r="81" spans="2:28">
      <c r="B81" s="16" t="s">
        <v>1071</v>
      </c>
      <c r="H81" s="16" t="s">
        <v>1072</v>
      </c>
      <c r="P81" s="16" t="s">
        <v>408</v>
      </c>
      <c r="AB81" s="16" t="s">
        <v>34</v>
      </c>
    </row>
    <row r="82" spans="2:28">
      <c r="B82" s="16" t="s">
        <v>1073</v>
      </c>
      <c r="H82" s="16" t="s">
        <v>1074</v>
      </c>
      <c r="P82" s="16" t="s">
        <v>1075</v>
      </c>
      <c r="AB82" s="16" t="s">
        <v>1076</v>
      </c>
    </row>
    <row r="83" spans="2:28">
      <c r="B83" s="16" t="s">
        <v>1077</v>
      </c>
      <c r="H83" s="16" t="s">
        <v>1078</v>
      </c>
      <c r="P83" s="16" t="s">
        <v>1079</v>
      </c>
      <c r="AB83" s="16" t="s">
        <v>1080</v>
      </c>
    </row>
    <row r="84" spans="2:28">
      <c r="B84" s="16" t="s">
        <v>1081</v>
      </c>
      <c r="H84" s="16" t="s">
        <v>1082</v>
      </c>
      <c r="P84" s="16" t="s">
        <v>1083</v>
      </c>
      <c r="AB84" s="16" t="s">
        <v>1084</v>
      </c>
    </row>
    <row r="85" spans="2:28">
      <c r="B85" s="16" t="s">
        <v>1085</v>
      </c>
      <c r="H85" s="16" t="s">
        <v>1086</v>
      </c>
      <c r="P85" s="16" t="s">
        <v>1087</v>
      </c>
      <c r="AB85" s="16" t="s">
        <v>1088</v>
      </c>
    </row>
    <row r="86" spans="2:28">
      <c r="B86" s="16" t="s">
        <v>1025</v>
      </c>
      <c r="H86" s="16" t="s">
        <v>1089</v>
      </c>
      <c r="P86" s="16" t="s">
        <v>1090</v>
      </c>
      <c r="AB86" s="16" t="s">
        <v>1091</v>
      </c>
    </row>
    <row r="87" spans="2:28">
      <c r="B87" s="16" t="s">
        <v>490</v>
      </c>
      <c r="H87" s="16" t="s">
        <v>1092</v>
      </c>
      <c r="P87" s="16" t="s">
        <v>1093</v>
      </c>
      <c r="AB87" s="16" t="s">
        <v>541</v>
      </c>
    </row>
    <row r="88" spans="2:28">
      <c r="B88" s="16" t="s">
        <v>1094</v>
      </c>
      <c r="H88" s="16" t="s">
        <v>1095</v>
      </c>
      <c r="P88" s="16" t="s">
        <v>1096</v>
      </c>
      <c r="AB88" s="16" t="s">
        <v>1097</v>
      </c>
    </row>
    <row r="89" spans="2:28">
      <c r="B89" s="16" t="s">
        <v>1098</v>
      </c>
      <c r="H89" s="16" t="s">
        <v>1099</v>
      </c>
      <c r="P89" s="16" t="s">
        <v>1100</v>
      </c>
    </row>
    <row r="90" spans="2:28">
      <c r="B90" s="16" t="s">
        <v>1101</v>
      </c>
      <c r="H90" s="16" t="s">
        <v>777</v>
      </c>
      <c r="P90" s="16" t="s">
        <v>1102</v>
      </c>
    </row>
    <row r="91" spans="2:28">
      <c r="B91" s="16" t="s">
        <v>717</v>
      </c>
      <c r="H91" s="16" t="s">
        <v>1103</v>
      </c>
      <c r="P91" s="16" t="s">
        <v>1104</v>
      </c>
    </row>
    <row r="92" spans="2:28">
      <c r="B92" s="16" t="s">
        <v>408</v>
      </c>
      <c r="H92" s="16" t="s">
        <v>1105</v>
      </c>
      <c r="P92" s="16" t="s">
        <v>1106</v>
      </c>
    </row>
    <row r="93" spans="2:28">
      <c r="B93" s="16" t="s">
        <v>1107</v>
      </c>
      <c r="H93" s="16" t="s">
        <v>1108</v>
      </c>
      <c r="P93" s="16" t="s">
        <v>1109</v>
      </c>
    </row>
    <row r="94" spans="2:28">
      <c r="B94" s="16" t="s">
        <v>1110</v>
      </c>
      <c r="H94" s="16" t="s">
        <v>1111</v>
      </c>
      <c r="P94" s="16" t="s">
        <v>1112</v>
      </c>
    </row>
    <row r="95" spans="2:28">
      <c r="B95" s="16" t="s">
        <v>1113</v>
      </c>
      <c r="H95" s="16" t="s">
        <v>1114</v>
      </c>
      <c r="P95" s="16" t="s">
        <v>1115</v>
      </c>
    </row>
    <row r="96" spans="2:28">
      <c r="B96" s="16" t="s">
        <v>903</v>
      </c>
      <c r="H96" s="16" t="s">
        <v>1116</v>
      </c>
      <c r="P96" s="16" t="s">
        <v>1117</v>
      </c>
    </row>
    <row r="97" spans="2:16">
      <c r="B97" s="16" t="s">
        <v>1118</v>
      </c>
      <c r="H97" s="16" t="s">
        <v>1119</v>
      </c>
      <c r="P97" s="16" t="s">
        <v>1120</v>
      </c>
    </row>
    <row r="98" spans="2:16">
      <c r="B98" s="16" t="s">
        <v>1121</v>
      </c>
      <c r="H98" s="16" t="s">
        <v>1122</v>
      </c>
      <c r="P98" s="16" t="s">
        <v>1123</v>
      </c>
    </row>
    <row r="99" spans="2:16">
      <c r="B99" s="16" t="s">
        <v>1124</v>
      </c>
      <c r="H99" s="16" t="s">
        <v>1125</v>
      </c>
      <c r="P99" s="16" t="s">
        <v>1126</v>
      </c>
    </row>
    <row r="100" spans="2:16">
      <c r="B100" s="16" t="s">
        <v>1127</v>
      </c>
      <c r="H100" s="16" t="s">
        <v>1128</v>
      </c>
      <c r="P100" s="16" t="s">
        <v>1129</v>
      </c>
    </row>
    <row r="101" spans="2:16">
      <c r="B101" s="16" t="s">
        <v>1130</v>
      </c>
      <c r="H101" s="16" t="s">
        <v>1131</v>
      </c>
      <c r="P101" s="16" t="s">
        <v>1132</v>
      </c>
    </row>
    <row r="102" spans="2:16">
      <c r="B102" s="16" t="s">
        <v>986</v>
      </c>
      <c r="H102" s="16" t="s">
        <v>1133</v>
      </c>
      <c r="P102" s="16" t="s">
        <v>1134</v>
      </c>
    </row>
    <row r="103" spans="2:16">
      <c r="B103" s="16" t="s">
        <v>1135</v>
      </c>
      <c r="H103" s="16" t="s">
        <v>1136</v>
      </c>
      <c r="P103" s="16" t="s">
        <v>1137</v>
      </c>
    </row>
    <row r="104" spans="2:16">
      <c r="B104" s="16" t="s">
        <v>1138</v>
      </c>
      <c r="H104" s="16" t="s">
        <v>1139</v>
      </c>
      <c r="P104" s="16" t="s">
        <v>1140</v>
      </c>
    </row>
    <row r="105" spans="2:16">
      <c r="B105" s="16" t="s">
        <v>1141</v>
      </c>
      <c r="H105" s="16" t="s">
        <v>1142</v>
      </c>
      <c r="P105" s="16" t="s">
        <v>1143</v>
      </c>
    </row>
    <row r="106" spans="2:16">
      <c r="B106" s="16" t="s">
        <v>1144</v>
      </c>
      <c r="H106" s="16" t="s">
        <v>1145</v>
      </c>
      <c r="P106" s="16" t="s">
        <v>1146</v>
      </c>
    </row>
    <row r="107" spans="2:16">
      <c r="B107" s="16" t="s">
        <v>1147</v>
      </c>
      <c r="H107" s="16" t="s">
        <v>1148</v>
      </c>
      <c r="P107" s="16" t="s">
        <v>1149</v>
      </c>
    </row>
    <row r="108" spans="2:16">
      <c r="B108" s="16" t="s">
        <v>1150</v>
      </c>
      <c r="H108" s="16" t="s">
        <v>1151</v>
      </c>
      <c r="P108" s="16" t="s">
        <v>1152</v>
      </c>
    </row>
    <row r="109" spans="2:16">
      <c r="B109" s="16" t="s">
        <v>1153</v>
      </c>
      <c r="H109" s="16" t="s">
        <v>1154</v>
      </c>
      <c r="P109" s="16" t="s">
        <v>1155</v>
      </c>
    </row>
    <row r="110" spans="2:16">
      <c r="B110" s="16" t="s">
        <v>1156</v>
      </c>
      <c r="H110" s="16" t="s">
        <v>1157</v>
      </c>
      <c r="P110" s="16" t="s">
        <v>1158</v>
      </c>
    </row>
    <row r="111" spans="2:16">
      <c r="B111" s="16" t="s">
        <v>1159</v>
      </c>
      <c r="H111" s="16" t="s">
        <v>1160</v>
      </c>
      <c r="P111" s="16" t="s">
        <v>1161</v>
      </c>
    </row>
    <row r="112" spans="2:16">
      <c r="B112" s="16" t="s">
        <v>1162</v>
      </c>
      <c r="H112" s="16" t="s">
        <v>1163</v>
      </c>
      <c r="P112" s="16" t="s">
        <v>1164</v>
      </c>
    </row>
    <row r="113" spans="2:16">
      <c r="B113" s="16" t="s">
        <v>876</v>
      </c>
      <c r="H113" s="16" t="s">
        <v>1165</v>
      </c>
      <c r="P113" s="16" t="s">
        <v>1166</v>
      </c>
    </row>
    <row r="114" spans="2:16">
      <c r="B114" s="16" t="s">
        <v>1167</v>
      </c>
      <c r="H114" s="16" t="s">
        <v>1168</v>
      </c>
      <c r="P114" s="16" t="s">
        <v>1169</v>
      </c>
    </row>
    <row r="115" spans="2:16">
      <c r="B115" s="16" t="s">
        <v>1170</v>
      </c>
      <c r="H115" s="16" t="s">
        <v>1171</v>
      </c>
      <c r="P115" s="16" t="s">
        <v>1172</v>
      </c>
    </row>
    <row r="116" spans="2:16">
      <c r="B116" s="16" t="s">
        <v>1173</v>
      </c>
      <c r="H116" s="16" t="s">
        <v>1174</v>
      </c>
      <c r="P116" s="16" t="s">
        <v>1175</v>
      </c>
    </row>
    <row r="117" spans="2:16">
      <c r="B117" s="16" t="s">
        <v>1176</v>
      </c>
      <c r="H117" s="16" t="s">
        <v>1177</v>
      </c>
      <c r="P117" s="16" t="s">
        <v>1178</v>
      </c>
    </row>
    <row r="118" spans="2:16">
      <c r="B118" s="16" t="s">
        <v>554</v>
      </c>
      <c r="H118" s="16" t="s">
        <v>1179</v>
      </c>
    </row>
    <row r="119" spans="2:16">
      <c r="B119" s="16" t="s">
        <v>1180</v>
      </c>
      <c r="H119" s="16" t="s">
        <v>1181</v>
      </c>
    </row>
    <row r="120" spans="2:16">
      <c r="B120" s="16" t="s">
        <v>1017</v>
      </c>
      <c r="H120" s="16" t="s">
        <v>1182</v>
      </c>
    </row>
    <row r="121" spans="2:16">
      <c r="B121" s="16" t="s">
        <v>1183</v>
      </c>
      <c r="H121" s="16" t="s">
        <v>1184</v>
      </c>
    </row>
    <row r="122" spans="2:16">
      <c r="B122" s="16" t="s">
        <v>1185</v>
      </c>
      <c r="H122" s="16" t="s">
        <v>1186</v>
      </c>
    </row>
    <row r="123" spans="2:16">
      <c r="B123" s="16" t="s">
        <v>1187</v>
      </c>
      <c r="H123" s="16" t="s">
        <v>1188</v>
      </c>
    </row>
    <row r="124" spans="2:16">
      <c r="B124" s="16" t="s">
        <v>1189</v>
      </c>
      <c r="H124" s="16" t="s">
        <v>1190</v>
      </c>
    </row>
    <row r="125" spans="2:16">
      <c r="B125" s="16" t="s">
        <v>1191</v>
      </c>
    </row>
    <row r="126" spans="2:16">
      <c r="B126" s="16" t="s">
        <v>1192</v>
      </c>
    </row>
    <row r="127" spans="2:16">
      <c r="B127" s="16"/>
    </row>
    <row r="128" spans="2:16">
      <c r="B128" s="16"/>
    </row>
    <row r="129" spans="2:2">
      <c r="B129" s="16"/>
    </row>
    <row r="130" spans="2:2">
      <c r="B130" s="16"/>
    </row>
    <row r="131" spans="2:2">
      <c r="B131" s="16"/>
    </row>
    <row r="132" spans="2:2">
      <c r="B132" s="16"/>
    </row>
    <row r="133" spans="2:2">
      <c r="B133" s="16"/>
    </row>
    <row r="134" spans="2:2">
      <c r="B134" s="16"/>
    </row>
    <row r="135" spans="2:2">
      <c r="B135" s="16"/>
    </row>
    <row r="136" spans="2:2">
      <c r="B136" s="16"/>
    </row>
    <row r="137" spans="2:2">
      <c r="B137" s="16"/>
    </row>
    <row r="138" spans="2:2">
      <c r="B138" s="16"/>
    </row>
    <row r="139" spans="2:2">
      <c r="B139" s="16"/>
    </row>
    <row r="140" spans="2:2">
      <c r="B140" s="16"/>
    </row>
    <row r="141" spans="2:2">
      <c r="B141" s="16"/>
    </row>
    <row r="142" spans="2:2">
      <c r="B142" s="16"/>
    </row>
    <row r="143" spans="2:2">
      <c r="B143" s="16"/>
    </row>
    <row r="144" spans="2:2">
      <c r="B144" s="16"/>
    </row>
    <row r="145" spans="2:2">
      <c r="B145" s="16"/>
    </row>
    <row r="146" spans="2:2">
      <c r="B146" s="16"/>
    </row>
    <row r="147" spans="2:2">
      <c r="B147" s="16"/>
    </row>
    <row r="148" spans="2:2">
      <c r="B148" s="16"/>
    </row>
    <row r="149" spans="2:2">
      <c r="B149" s="16"/>
    </row>
    <row r="150" spans="2:2">
      <c r="B150" s="16"/>
    </row>
    <row r="151" spans="2:2">
      <c r="B151" s="16"/>
    </row>
    <row r="152" spans="2:2">
      <c r="B152" s="16"/>
    </row>
    <row r="153" spans="2:2">
      <c r="B153" s="16"/>
    </row>
    <row r="154" spans="2:2">
      <c r="B154" s="16"/>
    </row>
    <row r="155" spans="2:2">
      <c r="B155" s="16"/>
    </row>
    <row r="156" spans="2:2">
      <c r="B156" s="16"/>
    </row>
    <row r="157" spans="2:2">
      <c r="B157" s="16"/>
    </row>
    <row r="158" spans="2:2">
      <c r="B158" s="16"/>
    </row>
    <row r="159" spans="2:2">
      <c r="B159" s="16"/>
    </row>
    <row r="160" spans="2:2">
      <c r="B160" s="16"/>
    </row>
    <row r="161" spans="2:2">
      <c r="B161" s="16"/>
    </row>
    <row r="162" spans="2:2">
      <c r="B162" s="16"/>
    </row>
    <row r="163" spans="2:2">
      <c r="B163" s="16"/>
    </row>
    <row r="164" spans="2:2">
      <c r="B164" s="16"/>
    </row>
    <row r="165" spans="2:2">
      <c r="B165" s="16"/>
    </row>
    <row r="166" spans="2:2">
      <c r="B166" s="16"/>
    </row>
    <row r="167" spans="2:2">
      <c r="B167" s="16"/>
    </row>
    <row r="168" spans="2:2">
      <c r="B168" s="16"/>
    </row>
    <row r="169" spans="2:2">
      <c r="B169" s="16"/>
    </row>
    <row r="170" spans="2:2">
      <c r="B170" s="16"/>
    </row>
    <row r="171" spans="2:2">
      <c r="B171" s="16"/>
    </row>
    <row r="172" spans="2:2">
      <c r="B172" s="16"/>
    </row>
    <row r="173" spans="2:2">
      <c r="B173" s="16"/>
    </row>
    <row r="174" spans="2:2">
      <c r="B174" s="16"/>
    </row>
    <row r="175" spans="2:2">
      <c r="B175" s="16"/>
    </row>
    <row r="176" spans="2:2">
      <c r="B176" s="16"/>
    </row>
    <row r="177" spans="2:2">
      <c r="B177" s="16"/>
    </row>
    <row r="178" spans="2:2">
      <c r="B178" s="16"/>
    </row>
    <row r="179" spans="2:2">
      <c r="B179" s="16"/>
    </row>
    <row r="180" spans="2:2">
      <c r="B180" s="16"/>
    </row>
    <row r="181" spans="2:2">
      <c r="B181" s="16"/>
    </row>
    <row r="182" spans="2:2">
      <c r="B182" s="16"/>
    </row>
    <row r="183" spans="2:2">
      <c r="B183" s="16"/>
    </row>
    <row r="184" spans="2:2">
      <c r="B184" s="16"/>
    </row>
    <row r="185" spans="2:2">
      <c r="B185" s="16"/>
    </row>
    <row r="186" spans="2:2">
      <c r="B186" s="16"/>
    </row>
    <row r="187" spans="2:2">
      <c r="B187" s="16"/>
    </row>
    <row r="188" spans="2:2">
      <c r="B188" s="16"/>
    </row>
    <row r="189" spans="2:2">
      <c r="B189" s="16"/>
    </row>
    <row r="190" spans="2:2">
      <c r="B190" s="16"/>
    </row>
    <row r="191" spans="2:2">
      <c r="B191" s="16"/>
    </row>
    <row r="192" spans="2:2">
      <c r="B192" s="16"/>
    </row>
    <row r="193" spans="2:2">
      <c r="B193" s="16"/>
    </row>
    <row r="194" spans="2:2">
      <c r="B194" s="16"/>
    </row>
    <row r="195" spans="2:2">
      <c r="B195" s="16"/>
    </row>
    <row r="196" spans="2:2">
      <c r="B196" s="16"/>
    </row>
    <row r="197" spans="2:2">
      <c r="B197" s="16"/>
    </row>
    <row r="198" spans="2:2">
      <c r="B198" s="16"/>
    </row>
    <row r="199" spans="2:2">
      <c r="B199" s="16"/>
    </row>
    <row r="200" spans="2:2">
      <c r="B200" s="16"/>
    </row>
    <row r="201" spans="2:2">
      <c r="B201" s="16"/>
    </row>
    <row r="202" spans="2:2">
      <c r="B202" s="16"/>
    </row>
    <row r="203" spans="2:2">
      <c r="B203" s="16"/>
    </row>
    <row r="204" spans="2:2">
      <c r="B204" s="16"/>
    </row>
    <row r="205" spans="2:2">
      <c r="B205" s="16"/>
    </row>
    <row r="206" spans="2:2">
      <c r="B206" s="16"/>
    </row>
    <row r="207" spans="2:2">
      <c r="B207" s="16"/>
    </row>
    <row r="208" spans="2:2">
      <c r="B208" s="16"/>
    </row>
    <row r="209" spans="2:2">
      <c r="B209" s="16"/>
    </row>
    <row r="210" spans="2:2">
      <c r="B210" s="16"/>
    </row>
    <row r="211" spans="2:2">
      <c r="B211" s="16"/>
    </row>
    <row r="212" spans="2:2">
      <c r="B212" s="16"/>
    </row>
    <row r="213" spans="2:2">
      <c r="B213" s="16"/>
    </row>
    <row r="214" spans="2:2">
      <c r="B214" s="16"/>
    </row>
    <row r="215" spans="2:2">
      <c r="B215" s="16"/>
    </row>
    <row r="216" spans="2:2">
      <c r="B216" s="16"/>
    </row>
    <row r="217" spans="2:2">
      <c r="B217" s="16"/>
    </row>
    <row r="218" spans="2:2">
      <c r="B218" s="16"/>
    </row>
    <row r="219" spans="2:2">
      <c r="B219" s="16"/>
    </row>
    <row r="220" spans="2:2">
      <c r="B220" s="16"/>
    </row>
    <row r="221" spans="2:2">
      <c r="B221" s="16"/>
    </row>
    <row r="222" spans="2:2">
      <c r="B222" s="16"/>
    </row>
    <row r="223" spans="2:2">
      <c r="B223" s="16"/>
    </row>
    <row r="224" spans="2:2">
      <c r="B224" s="16"/>
    </row>
    <row r="225" spans="2:2">
      <c r="B225" s="16"/>
    </row>
    <row r="226" spans="2:2">
      <c r="B226" s="16"/>
    </row>
    <row r="227" spans="2:2">
      <c r="B227" s="16"/>
    </row>
    <row r="228" spans="2:2">
      <c r="B228" s="16"/>
    </row>
    <row r="229" spans="2:2">
      <c r="B229" s="16"/>
    </row>
    <row r="230" spans="2:2">
      <c r="B230" s="16"/>
    </row>
    <row r="231" spans="2:2">
      <c r="B231" s="16"/>
    </row>
    <row r="232" spans="2:2">
      <c r="B232" s="16"/>
    </row>
    <row r="233" spans="2:2">
      <c r="B233" s="16"/>
    </row>
    <row r="234" spans="2:2">
      <c r="B234" s="16"/>
    </row>
    <row r="235" spans="2:2">
      <c r="B235" s="16"/>
    </row>
    <row r="236" spans="2:2">
      <c r="B236" s="16"/>
    </row>
    <row r="237" spans="2:2">
      <c r="B237" s="16"/>
    </row>
    <row r="238" spans="2:2">
      <c r="B238" s="16"/>
    </row>
    <row r="239" spans="2:2">
      <c r="B239" s="16"/>
    </row>
    <row r="240" spans="2:2">
      <c r="B240" s="16"/>
    </row>
    <row r="241" spans="2:2">
      <c r="B241" s="16"/>
    </row>
    <row r="242" spans="2:2">
      <c r="B242" s="16"/>
    </row>
    <row r="243" spans="2:2">
      <c r="B243" s="16"/>
    </row>
    <row r="244" spans="2:2">
      <c r="B244" s="16"/>
    </row>
    <row r="245" spans="2:2">
      <c r="B245" s="16"/>
    </row>
    <row r="246" spans="2:2">
      <c r="B246" s="16"/>
    </row>
    <row r="247" spans="2:2">
      <c r="B247" s="16"/>
    </row>
    <row r="248" spans="2:2">
      <c r="B248" s="16"/>
    </row>
    <row r="249" spans="2:2">
      <c r="B249" s="16"/>
    </row>
    <row r="250" spans="2:2">
      <c r="B250" s="16"/>
    </row>
    <row r="251" spans="2:2">
      <c r="B251" s="16"/>
    </row>
    <row r="252" spans="2:2">
      <c r="B252" s="16"/>
    </row>
    <row r="253" spans="2:2">
      <c r="B253" s="16"/>
    </row>
    <row r="254" spans="2:2">
      <c r="B254" s="16"/>
    </row>
    <row r="255" spans="2:2">
      <c r="B255" s="16"/>
    </row>
    <row r="256" spans="2:2">
      <c r="B256" s="16"/>
    </row>
    <row r="257" spans="2:2">
      <c r="B257" s="16"/>
    </row>
    <row r="258" spans="2:2">
      <c r="B258" s="16"/>
    </row>
    <row r="259" spans="2:2">
      <c r="B259" s="16"/>
    </row>
    <row r="260" spans="2:2">
      <c r="B260" s="16"/>
    </row>
    <row r="261" spans="2:2">
      <c r="B261" s="16"/>
    </row>
    <row r="262" spans="2:2">
      <c r="B262" s="16"/>
    </row>
    <row r="263" spans="2:2">
      <c r="B263" s="16"/>
    </row>
    <row r="264" spans="2:2">
      <c r="B264" s="16"/>
    </row>
    <row r="265" spans="2:2">
      <c r="B265" s="16"/>
    </row>
    <row r="266" spans="2:2">
      <c r="B266" s="16"/>
    </row>
    <row r="267" spans="2:2">
      <c r="B267" s="16"/>
    </row>
    <row r="268" spans="2:2">
      <c r="B268" s="16"/>
    </row>
    <row r="269" spans="2:2">
      <c r="B269" s="16"/>
    </row>
    <row r="270" spans="2:2">
      <c r="B270" s="16"/>
    </row>
    <row r="271" spans="2:2">
      <c r="B271" s="16"/>
    </row>
    <row r="272" spans="2:2">
      <c r="B272" s="16"/>
    </row>
    <row r="273" spans="2:2">
      <c r="B273" s="16"/>
    </row>
    <row r="274" spans="2:2">
      <c r="B274" s="16"/>
    </row>
    <row r="275" spans="2:2">
      <c r="B275" s="16"/>
    </row>
    <row r="276" spans="2:2">
      <c r="B276" s="16"/>
    </row>
    <row r="277" spans="2:2">
      <c r="B277" s="16"/>
    </row>
    <row r="278" spans="2:2">
      <c r="B278" s="16"/>
    </row>
    <row r="279" spans="2:2">
      <c r="B279" s="16"/>
    </row>
    <row r="280" spans="2:2">
      <c r="B280" s="16"/>
    </row>
    <row r="281" spans="2:2">
      <c r="B281" s="16"/>
    </row>
    <row r="282" spans="2:2">
      <c r="B282" s="16"/>
    </row>
    <row r="283" spans="2:2">
      <c r="B283" s="16"/>
    </row>
    <row r="284" spans="2:2">
      <c r="B284" s="16"/>
    </row>
    <row r="285" spans="2:2">
      <c r="B285" s="16"/>
    </row>
    <row r="286" spans="2:2">
      <c r="B286" s="16"/>
    </row>
    <row r="287" spans="2:2">
      <c r="B287" s="16"/>
    </row>
    <row r="288" spans="2:2">
      <c r="B288" s="16"/>
    </row>
    <row r="289" spans="2:2">
      <c r="B289" s="16"/>
    </row>
    <row r="290" spans="2:2">
      <c r="B290" s="16"/>
    </row>
    <row r="291" spans="2:2">
      <c r="B291" s="16"/>
    </row>
    <row r="292" spans="2:2">
      <c r="B292" s="16"/>
    </row>
    <row r="293" spans="2:2">
      <c r="B293" s="16"/>
    </row>
    <row r="294" spans="2:2">
      <c r="B294" s="16"/>
    </row>
    <row r="295" spans="2:2">
      <c r="B295" s="16"/>
    </row>
    <row r="296" spans="2:2">
      <c r="B296" s="16"/>
    </row>
    <row r="297" spans="2:2">
      <c r="B297" s="16"/>
    </row>
    <row r="298" spans="2:2">
      <c r="B298" s="16"/>
    </row>
    <row r="299" spans="2:2">
      <c r="B299" s="16"/>
    </row>
    <row r="300" spans="2:2">
      <c r="B300" s="16"/>
    </row>
    <row r="301" spans="2:2">
      <c r="B301" s="16"/>
    </row>
    <row r="302" spans="2:2">
      <c r="B302" s="16"/>
    </row>
    <row r="303" spans="2:2">
      <c r="B303" s="16"/>
    </row>
    <row r="304" spans="2:2">
      <c r="B304" s="16"/>
    </row>
    <row r="305" spans="2:2">
      <c r="B305" s="16"/>
    </row>
    <row r="306" spans="2:2">
      <c r="B306" s="16"/>
    </row>
    <row r="307" spans="2:2">
      <c r="B307" s="16"/>
    </row>
    <row r="308" spans="2:2">
      <c r="B308" s="16"/>
    </row>
    <row r="309" spans="2:2">
      <c r="B309" s="16"/>
    </row>
    <row r="310" spans="2:2">
      <c r="B310" s="16"/>
    </row>
    <row r="311" spans="2:2">
      <c r="B311" s="16"/>
    </row>
    <row r="312" spans="2:2">
      <c r="B312" s="16"/>
    </row>
    <row r="313" spans="2:2">
      <c r="B313" s="16"/>
    </row>
    <row r="314" spans="2:2">
      <c r="B314" s="16"/>
    </row>
    <row r="315" spans="2:2">
      <c r="B315" s="16"/>
    </row>
    <row r="316" spans="2:2">
      <c r="B316" s="16"/>
    </row>
    <row r="317" spans="2:2">
      <c r="B317" s="16"/>
    </row>
    <row r="318" spans="2:2">
      <c r="B318" s="16"/>
    </row>
    <row r="319" spans="2:2">
      <c r="B319" s="16"/>
    </row>
    <row r="320" spans="2:2">
      <c r="B320" s="16"/>
    </row>
    <row r="321" spans="2:2">
      <c r="B321" s="16"/>
    </row>
    <row r="322" spans="2:2">
      <c r="B322" s="16"/>
    </row>
    <row r="323" spans="2:2">
      <c r="B323" s="16"/>
    </row>
    <row r="324" spans="2:2">
      <c r="B324" s="16"/>
    </row>
    <row r="325" spans="2:2">
      <c r="B325" s="16"/>
    </row>
    <row r="326" spans="2:2">
      <c r="B326" s="16"/>
    </row>
    <row r="327" spans="2:2">
      <c r="B327" s="16"/>
    </row>
    <row r="328" spans="2:2">
      <c r="B328" s="16"/>
    </row>
    <row r="329" spans="2:2">
      <c r="B329" s="16"/>
    </row>
    <row r="330" spans="2:2">
      <c r="B330" s="16"/>
    </row>
    <row r="331" spans="2:2">
      <c r="B331" s="16"/>
    </row>
    <row r="332" spans="2:2">
      <c r="B332" s="16"/>
    </row>
    <row r="333" spans="2:2">
      <c r="B333" s="16"/>
    </row>
    <row r="334" spans="2:2">
      <c r="B334" s="16"/>
    </row>
    <row r="335" spans="2:2">
      <c r="B335" s="16"/>
    </row>
    <row r="336" spans="2:2">
      <c r="B336" s="16"/>
    </row>
    <row r="337" spans="2:2">
      <c r="B337" s="16"/>
    </row>
    <row r="338" spans="2:2">
      <c r="B338" s="16"/>
    </row>
    <row r="339" spans="2:2">
      <c r="B339" s="16"/>
    </row>
    <row r="340" spans="2:2">
      <c r="B340" s="16"/>
    </row>
    <row r="341" spans="2:2">
      <c r="B341" s="16"/>
    </row>
    <row r="342" spans="2:2">
      <c r="B342" s="16"/>
    </row>
    <row r="343" spans="2:2">
      <c r="B343" s="16"/>
    </row>
    <row r="344" spans="2:2">
      <c r="B344" s="16"/>
    </row>
    <row r="345" spans="2:2">
      <c r="B345" s="16"/>
    </row>
    <row r="346" spans="2:2">
      <c r="B346" s="16"/>
    </row>
    <row r="347" spans="2:2">
      <c r="B347" s="16"/>
    </row>
    <row r="348" spans="2:2">
      <c r="B348" s="16"/>
    </row>
    <row r="349" spans="2:2">
      <c r="B349" s="16"/>
    </row>
    <row r="350" spans="2:2">
      <c r="B350" s="16"/>
    </row>
    <row r="351" spans="2:2">
      <c r="B351" s="16"/>
    </row>
    <row r="352" spans="2:2">
      <c r="B352" s="16"/>
    </row>
    <row r="353" spans="2:2">
      <c r="B353" s="16"/>
    </row>
    <row r="354" spans="2:2">
      <c r="B354" s="16"/>
    </row>
    <row r="355" spans="2:2">
      <c r="B355" s="16"/>
    </row>
    <row r="356" spans="2:2">
      <c r="B356" s="16"/>
    </row>
    <row r="357" spans="2:2">
      <c r="B357" s="16"/>
    </row>
    <row r="358" spans="2:2">
      <c r="B358" s="16"/>
    </row>
    <row r="359" spans="2:2">
      <c r="B359" s="16"/>
    </row>
    <row r="360" spans="2:2">
      <c r="B360" s="16"/>
    </row>
    <row r="361" spans="2:2">
      <c r="B361" s="16"/>
    </row>
    <row r="362" spans="2:2">
      <c r="B362" s="16"/>
    </row>
    <row r="363" spans="2:2">
      <c r="B363" s="16"/>
    </row>
    <row r="364" spans="2:2">
      <c r="B364" s="16"/>
    </row>
    <row r="365" spans="2:2">
      <c r="B365" s="16"/>
    </row>
    <row r="366" spans="2:2">
      <c r="B366" s="16"/>
    </row>
    <row r="367" spans="2:2">
      <c r="B367" s="16"/>
    </row>
    <row r="368" spans="2:2">
      <c r="B368" s="16"/>
    </row>
    <row r="369" spans="2:2">
      <c r="B369" s="16"/>
    </row>
    <row r="370" spans="2:2">
      <c r="B370" s="16"/>
    </row>
    <row r="371" spans="2:2">
      <c r="B371" s="16"/>
    </row>
    <row r="372" spans="2:2">
      <c r="B372" s="16"/>
    </row>
    <row r="373" spans="2:2">
      <c r="B373" s="16"/>
    </row>
    <row r="374" spans="2:2">
      <c r="B374" s="16"/>
    </row>
    <row r="375" spans="2:2">
      <c r="B375" s="16"/>
    </row>
    <row r="376" spans="2:2">
      <c r="B376" s="16"/>
    </row>
    <row r="377" spans="2:2">
      <c r="B377" s="16"/>
    </row>
    <row r="378" spans="2:2">
      <c r="B378" s="16"/>
    </row>
    <row r="379" spans="2:2">
      <c r="B379" s="16"/>
    </row>
    <row r="380" spans="2:2">
      <c r="B380" s="16"/>
    </row>
    <row r="381" spans="2:2">
      <c r="B381" s="16"/>
    </row>
    <row r="382" spans="2:2">
      <c r="B382" s="16"/>
    </row>
    <row r="383" spans="2:2">
      <c r="B383" s="16"/>
    </row>
    <row r="384" spans="2:2">
      <c r="B384" s="16"/>
    </row>
    <row r="385" spans="2:2">
      <c r="B385" s="16"/>
    </row>
    <row r="386" spans="2:2">
      <c r="B386" s="16"/>
    </row>
    <row r="387" spans="2:2">
      <c r="B387" s="16"/>
    </row>
    <row r="388" spans="2:2">
      <c r="B388" s="16"/>
    </row>
    <row r="389" spans="2:2">
      <c r="B389" s="16"/>
    </row>
    <row r="390" spans="2:2">
      <c r="B390" s="16"/>
    </row>
    <row r="391" spans="2:2">
      <c r="B391" s="16"/>
    </row>
    <row r="392" spans="2:2">
      <c r="B392" s="16"/>
    </row>
    <row r="393" spans="2:2">
      <c r="B393" s="16"/>
    </row>
    <row r="394" spans="2:2">
      <c r="B394" s="16"/>
    </row>
    <row r="395" spans="2:2">
      <c r="B395" s="16"/>
    </row>
    <row r="396" spans="2:2">
      <c r="B396" s="16"/>
    </row>
    <row r="397" spans="2:2">
      <c r="B397" s="16"/>
    </row>
    <row r="398" spans="2:2">
      <c r="B398" s="16"/>
    </row>
    <row r="399" spans="2:2">
      <c r="B399" s="16"/>
    </row>
    <row r="400" spans="2:2">
      <c r="B400" s="16"/>
    </row>
    <row r="401" spans="2:2">
      <c r="B401" s="16"/>
    </row>
    <row r="402" spans="2:2">
      <c r="B402" s="16"/>
    </row>
    <row r="403" spans="2:2">
      <c r="B403" s="16"/>
    </row>
    <row r="404" spans="2:2">
      <c r="B404" s="16"/>
    </row>
    <row r="405" spans="2:2">
      <c r="B405" s="16"/>
    </row>
    <row r="406" spans="2:2">
      <c r="B406" s="16"/>
    </row>
    <row r="407" spans="2:2">
      <c r="B407" s="16"/>
    </row>
    <row r="408" spans="2:2">
      <c r="B408" s="16"/>
    </row>
    <row r="409" spans="2:2">
      <c r="B409" s="16"/>
    </row>
    <row r="410" spans="2:2">
      <c r="B410" s="16"/>
    </row>
    <row r="411" spans="2:2">
      <c r="B411" s="16"/>
    </row>
    <row r="412" spans="2:2">
      <c r="B412" s="16"/>
    </row>
    <row r="413" spans="2:2">
      <c r="B413" s="16"/>
    </row>
    <row r="414" spans="2:2">
      <c r="B414" s="16"/>
    </row>
    <row r="415" spans="2:2">
      <c r="B415" s="16"/>
    </row>
    <row r="416" spans="2:2">
      <c r="B416" s="16"/>
    </row>
    <row r="417" spans="2:2">
      <c r="B417" s="16"/>
    </row>
    <row r="418" spans="2:2">
      <c r="B418" s="16"/>
    </row>
    <row r="419" spans="2:2">
      <c r="B419" s="16"/>
    </row>
    <row r="420" spans="2:2">
      <c r="B420" s="16"/>
    </row>
    <row r="421" spans="2:2">
      <c r="B421" s="16"/>
    </row>
    <row r="422" spans="2:2">
      <c r="B422" s="16"/>
    </row>
    <row r="423" spans="2:2">
      <c r="B423" s="16"/>
    </row>
    <row r="424" spans="2:2">
      <c r="B424" s="16"/>
    </row>
    <row r="425" spans="2:2">
      <c r="B425" s="16"/>
    </row>
    <row r="426" spans="2:2">
      <c r="B426" s="16"/>
    </row>
    <row r="427" spans="2:2">
      <c r="B427" s="16"/>
    </row>
    <row r="428" spans="2:2">
      <c r="B428" s="16"/>
    </row>
    <row r="429" spans="2:2">
      <c r="B429" s="16"/>
    </row>
    <row r="430" spans="2:2">
      <c r="B430" s="16"/>
    </row>
    <row r="431" spans="2:2">
      <c r="B431" s="16"/>
    </row>
    <row r="432" spans="2:2">
      <c r="B432" s="16"/>
    </row>
    <row r="433" spans="2:2">
      <c r="B433" s="16"/>
    </row>
    <row r="434" spans="2:2">
      <c r="B434" s="16"/>
    </row>
    <row r="435" spans="2:2">
      <c r="B435" s="16"/>
    </row>
    <row r="436" spans="2:2">
      <c r="B436" s="16"/>
    </row>
    <row r="437" spans="2:2">
      <c r="B437" s="16"/>
    </row>
    <row r="438" spans="2:2">
      <c r="B438" s="16"/>
    </row>
    <row r="439" spans="2:2">
      <c r="B439" s="16"/>
    </row>
    <row r="440" spans="2:2">
      <c r="B440" s="16"/>
    </row>
    <row r="441" spans="2:2">
      <c r="B441" s="16"/>
    </row>
    <row r="442" spans="2:2">
      <c r="B442" s="16"/>
    </row>
    <row r="443" spans="2:2">
      <c r="B443" s="16"/>
    </row>
    <row r="444" spans="2:2">
      <c r="B444" s="16"/>
    </row>
    <row r="445" spans="2:2">
      <c r="B445" s="16"/>
    </row>
    <row r="446" spans="2:2">
      <c r="B446" s="16"/>
    </row>
    <row r="447" spans="2:2">
      <c r="B447" s="16"/>
    </row>
    <row r="448" spans="2:2">
      <c r="B448" s="16"/>
    </row>
    <row r="449" spans="2:2">
      <c r="B449" s="16"/>
    </row>
    <row r="450" spans="2:2">
      <c r="B450" s="16"/>
    </row>
    <row r="451" spans="2:2">
      <c r="B451" s="16"/>
    </row>
    <row r="452" spans="2:2">
      <c r="B452" s="16"/>
    </row>
    <row r="453" spans="2:2">
      <c r="B453" s="16"/>
    </row>
    <row r="454" spans="2:2">
      <c r="B454" s="16"/>
    </row>
    <row r="455" spans="2:2">
      <c r="B455" s="16"/>
    </row>
    <row r="456" spans="2:2">
      <c r="B456" s="16"/>
    </row>
    <row r="457" spans="2:2">
      <c r="B457" s="16"/>
    </row>
    <row r="458" spans="2:2">
      <c r="B458" s="16"/>
    </row>
    <row r="459" spans="2:2">
      <c r="B459" s="16"/>
    </row>
    <row r="460" spans="2:2">
      <c r="B460" s="16"/>
    </row>
    <row r="461" spans="2:2">
      <c r="B461" s="16"/>
    </row>
    <row r="462" spans="2:2">
      <c r="B462" s="16"/>
    </row>
    <row r="463" spans="2:2">
      <c r="B463" s="16"/>
    </row>
    <row r="464" spans="2:2">
      <c r="B464" s="16"/>
    </row>
    <row r="465" spans="2:2">
      <c r="B465" s="16"/>
    </row>
    <row r="466" spans="2:2">
      <c r="B466" s="16"/>
    </row>
    <row r="467" spans="2:2">
      <c r="B467" s="16"/>
    </row>
    <row r="468" spans="2:2">
      <c r="B468" s="16"/>
    </row>
    <row r="469" spans="2:2">
      <c r="B469" s="16"/>
    </row>
    <row r="470" spans="2:2">
      <c r="B470" s="16"/>
    </row>
    <row r="471" spans="2:2">
      <c r="B471" s="16"/>
    </row>
    <row r="472" spans="2:2">
      <c r="B472" s="16"/>
    </row>
    <row r="473" spans="2:2">
      <c r="B473" s="16"/>
    </row>
    <row r="474" spans="2:2">
      <c r="B474" s="16"/>
    </row>
    <row r="475" spans="2:2">
      <c r="B475" s="16"/>
    </row>
    <row r="476" spans="2:2">
      <c r="B476" s="16"/>
    </row>
    <row r="477" spans="2:2">
      <c r="B477" s="16"/>
    </row>
    <row r="478" spans="2:2">
      <c r="B478" s="16"/>
    </row>
    <row r="479" spans="2:2">
      <c r="B479" s="16"/>
    </row>
    <row r="480" spans="2:2">
      <c r="B480" s="16"/>
    </row>
    <row r="481" spans="2:2">
      <c r="B481" s="16"/>
    </row>
    <row r="482" spans="2:2">
      <c r="B482" s="16"/>
    </row>
    <row r="483" spans="2:2">
      <c r="B483" s="16"/>
    </row>
    <row r="484" spans="2:2">
      <c r="B484" s="16"/>
    </row>
    <row r="485" spans="2:2">
      <c r="B485" s="16"/>
    </row>
    <row r="486" spans="2:2">
      <c r="B486" s="16"/>
    </row>
    <row r="487" spans="2:2">
      <c r="B487" s="16"/>
    </row>
    <row r="488" spans="2:2">
      <c r="B488" s="16"/>
    </row>
    <row r="489" spans="2:2">
      <c r="B489" s="16"/>
    </row>
    <row r="490" spans="2:2">
      <c r="B490" s="16"/>
    </row>
    <row r="491" spans="2:2">
      <c r="B491" s="16"/>
    </row>
    <row r="492" spans="2:2">
      <c r="B492" s="16"/>
    </row>
    <row r="493" spans="2:2">
      <c r="B493" s="16"/>
    </row>
    <row r="494" spans="2:2">
      <c r="B494" s="16"/>
    </row>
    <row r="495" spans="2:2">
      <c r="B495" s="16"/>
    </row>
    <row r="496" spans="2:2">
      <c r="B496" s="16"/>
    </row>
    <row r="497" spans="2:2">
      <c r="B497" s="16"/>
    </row>
    <row r="498" spans="2:2">
      <c r="B498" s="16"/>
    </row>
    <row r="499" spans="2:2">
      <c r="B499" s="16"/>
    </row>
    <row r="500" spans="2:2">
      <c r="B500" s="16"/>
    </row>
    <row r="501" spans="2:2">
      <c r="B501" s="16"/>
    </row>
    <row r="502" spans="2:2">
      <c r="B502" s="16"/>
    </row>
    <row r="503" spans="2:2">
      <c r="B503" s="16"/>
    </row>
    <row r="504" spans="2:2">
      <c r="B504" s="16"/>
    </row>
    <row r="505" spans="2:2">
      <c r="B505" s="16"/>
    </row>
    <row r="506" spans="2:2">
      <c r="B506" s="16"/>
    </row>
    <row r="507" spans="2:2">
      <c r="B507" s="16"/>
    </row>
    <row r="508" spans="2:2">
      <c r="B508" s="16"/>
    </row>
    <row r="509" spans="2:2">
      <c r="B509" s="16"/>
    </row>
    <row r="510" spans="2:2">
      <c r="B510" s="16"/>
    </row>
    <row r="511" spans="2:2">
      <c r="B511" s="16"/>
    </row>
    <row r="512" spans="2:2">
      <c r="B512" s="16"/>
    </row>
    <row r="513" spans="2:2">
      <c r="B513" s="16"/>
    </row>
    <row r="514" spans="2:2">
      <c r="B514" s="16"/>
    </row>
    <row r="515" spans="2:2">
      <c r="B515" s="16"/>
    </row>
    <row r="516" spans="2:2">
      <c r="B516" s="16"/>
    </row>
    <row r="517" spans="2:2">
      <c r="B517" s="16"/>
    </row>
    <row r="518" spans="2:2">
      <c r="B518" s="16"/>
    </row>
    <row r="519" spans="2:2">
      <c r="B519" s="16"/>
    </row>
    <row r="520" spans="2:2">
      <c r="B520" s="16"/>
    </row>
    <row r="521" spans="2:2">
      <c r="B521" s="16"/>
    </row>
    <row r="522" spans="2:2">
      <c r="B522" s="16"/>
    </row>
    <row r="523" spans="2:2">
      <c r="B523" s="16"/>
    </row>
    <row r="524" spans="2:2">
      <c r="B524" s="16"/>
    </row>
    <row r="525" spans="2:2">
      <c r="B525" s="16"/>
    </row>
    <row r="526" spans="2:2">
      <c r="B526" s="16"/>
    </row>
    <row r="527" spans="2:2">
      <c r="B527" s="16"/>
    </row>
    <row r="528" spans="2:2">
      <c r="B528" s="16"/>
    </row>
    <row r="529" spans="2:2">
      <c r="B529" s="16"/>
    </row>
    <row r="530" spans="2:2">
      <c r="B530" s="16"/>
    </row>
    <row r="531" spans="2:2">
      <c r="B531" s="16"/>
    </row>
    <row r="532" spans="2:2">
      <c r="B532" s="16"/>
    </row>
    <row r="533" spans="2:2">
      <c r="B533" s="16"/>
    </row>
    <row r="534" spans="2:2">
      <c r="B534" s="16"/>
    </row>
    <row r="535" spans="2:2">
      <c r="B535" s="16"/>
    </row>
    <row r="536" spans="2:2">
      <c r="B536" s="16"/>
    </row>
    <row r="537" spans="2:2">
      <c r="B537" s="16"/>
    </row>
    <row r="538" spans="2:2">
      <c r="B538" s="16"/>
    </row>
    <row r="539" spans="2:2">
      <c r="B539" s="16"/>
    </row>
    <row r="540" spans="2:2">
      <c r="B540" s="16"/>
    </row>
    <row r="541" spans="2:2">
      <c r="B541" s="16"/>
    </row>
    <row r="542" spans="2:2">
      <c r="B542" s="16"/>
    </row>
    <row r="543" spans="2:2">
      <c r="B543" s="16"/>
    </row>
    <row r="544" spans="2:2">
      <c r="B544" s="16"/>
    </row>
    <row r="545" spans="2:2">
      <c r="B545" s="16"/>
    </row>
    <row r="546" spans="2:2">
      <c r="B546" s="16"/>
    </row>
    <row r="547" spans="2:2">
      <c r="B547" s="16"/>
    </row>
    <row r="548" spans="2:2">
      <c r="B548" s="16"/>
    </row>
    <row r="549" spans="2:2">
      <c r="B549" s="16"/>
    </row>
    <row r="550" spans="2:2">
      <c r="B550" s="16"/>
    </row>
    <row r="551" spans="2:2">
      <c r="B551" s="16"/>
    </row>
    <row r="552" spans="2:2">
      <c r="B552" s="16"/>
    </row>
    <row r="553" spans="2:2">
      <c r="B553" s="16"/>
    </row>
    <row r="554" spans="2:2">
      <c r="B554" s="16"/>
    </row>
    <row r="555" spans="2:2">
      <c r="B555" s="16"/>
    </row>
    <row r="556" spans="2:2">
      <c r="B556" s="16"/>
    </row>
    <row r="557" spans="2:2">
      <c r="B557" s="16"/>
    </row>
    <row r="558" spans="2:2">
      <c r="B558" s="16"/>
    </row>
    <row r="559" spans="2:2">
      <c r="B559" s="16"/>
    </row>
    <row r="560" spans="2:2">
      <c r="B560" s="16"/>
    </row>
    <row r="561" spans="2:2">
      <c r="B561" s="16"/>
    </row>
    <row r="562" spans="2:2">
      <c r="B562" s="16"/>
    </row>
    <row r="563" spans="2:2">
      <c r="B563" s="16"/>
    </row>
    <row r="564" spans="2:2">
      <c r="B564" s="16"/>
    </row>
    <row r="565" spans="2:2">
      <c r="B565" s="16"/>
    </row>
    <row r="566" spans="2:2">
      <c r="B566" s="16"/>
    </row>
    <row r="567" spans="2:2">
      <c r="B567" s="16"/>
    </row>
    <row r="568" spans="2:2">
      <c r="B568" s="16"/>
    </row>
    <row r="569" spans="2:2">
      <c r="B569" s="16"/>
    </row>
    <row r="570" spans="2:2">
      <c r="B570" s="16"/>
    </row>
    <row r="571" spans="2:2">
      <c r="B571" s="16"/>
    </row>
    <row r="572" spans="2:2">
      <c r="B572" s="16"/>
    </row>
    <row r="573" spans="2:2">
      <c r="B573" s="16"/>
    </row>
    <row r="574" spans="2:2">
      <c r="B574" s="16"/>
    </row>
    <row r="575" spans="2:2">
      <c r="B575" s="16"/>
    </row>
    <row r="576" spans="2:2">
      <c r="B576" s="16"/>
    </row>
    <row r="577" spans="2:2">
      <c r="B577" s="16"/>
    </row>
    <row r="578" spans="2:2">
      <c r="B578" s="16"/>
    </row>
    <row r="579" spans="2:2">
      <c r="B579" s="16"/>
    </row>
    <row r="580" spans="2:2">
      <c r="B580" s="16"/>
    </row>
    <row r="581" spans="2:2">
      <c r="B581" s="16"/>
    </row>
    <row r="582" spans="2:2">
      <c r="B582" s="16"/>
    </row>
    <row r="583" spans="2:2">
      <c r="B583" s="16"/>
    </row>
    <row r="584" spans="2:2">
      <c r="B584" s="16"/>
    </row>
    <row r="585" spans="2:2">
      <c r="B585" s="16"/>
    </row>
    <row r="586" spans="2:2">
      <c r="B586" s="16"/>
    </row>
    <row r="587" spans="2:2">
      <c r="B587" s="16"/>
    </row>
    <row r="588" spans="2:2">
      <c r="B588" s="16"/>
    </row>
    <row r="589" spans="2:2">
      <c r="B589" s="16"/>
    </row>
    <row r="590" spans="2:2">
      <c r="B590" s="16"/>
    </row>
    <row r="591" spans="2:2">
      <c r="B591" s="16"/>
    </row>
    <row r="592" spans="2:2">
      <c r="B592" s="16"/>
    </row>
    <row r="593" spans="2:2">
      <c r="B593" s="16"/>
    </row>
    <row r="594" spans="2:2">
      <c r="B594" s="16"/>
    </row>
    <row r="595" spans="2:2">
      <c r="B595" s="16"/>
    </row>
    <row r="596" spans="2:2">
      <c r="B596" s="16"/>
    </row>
    <row r="597" spans="2:2">
      <c r="B597" s="16"/>
    </row>
    <row r="598" spans="2:2">
      <c r="B598" s="16"/>
    </row>
    <row r="599" spans="2:2">
      <c r="B599" s="16"/>
    </row>
    <row r="600" spans="2:2">
      <c r="B600" s="16"/>
    </row>
    <row r="601" spans="2:2">
      <c r="B601" s="16"/>
    </row>
    <row r="602" spans="2:2">
      <c r="B602" s="16"/>
    </row>
    <row r="603" spans="2:2">
      <c r="B603" s="16"/>
    </row>
    <row r="604" spans="2:2">
      <c r="B604" s="16"/>
    </row>
    <row r="605" spans="2:2">
      <c r="B605" s="16"/>
    </row>
    <row r="606" spans="2:2">
      <c r="B606" s="16"/>
    </row>
    <row r="607" spans="2:2">
      <c r="B607" s="16"/>
    </row>
    <row r="608" spans="2:2">
      <c r="B608" s="16"/>
    </row>
    <row r="609" spans="2:2">
      <c r="B609" s="16"/>
    </row>
    <row r="610" spans="2:2">
      <c r="B610" s="16"/>
    </row>
    <row r="611" spans="2:2">
      <c r="B611" s="16"/>
    </row>
    <row r="612" spans="2:2">
      <c r="B612" s="16"/>
    </row>
    <row r="613" spans="2:2">
      <c r="B613" s="16"/>
    </row>
    <row r="614" spans="2:2">
      <c r="B614" s="16"/>
    </row>
    <row r="615" spans="2:2">
      <c r="B615" s="16"/>
    </row>
    <row r="616" spans="2:2">
      <c r="B616" s="16"/>
    </row>
    <row r="617" spans="2:2">
      <c r="B617" s="16"/>
    </row>
    <row r="618" spans="2:2">
      <c r="B618" s="16"/>
    </row>
    <row r="619" spans="2:2">
      <c r="B619" s="16"/>
    </row>
    <row r="620" spans="2:2">
      <c r="B620" s="16"/>
    </row>
    <row r="621" spans="2:2">
      <c r="B621" s="16"/>
    </row>
    <row r="622" spans="2:2">
      <c r="B622" s="16"/>
    </row>
    <row r="623" spans="2:2">
      <c r="B623" s="16"/>
    </row>
    <row r="624" spans="2:2">
      <c r="B624" s="16"/>
    </row>
    <row r="625" spans="2:2">
      <c r="B625" s="16"/>
    </row>
    <row r="626" spans="2:2">
      <c r="B626" s="16"/>
    </row>
    <row r="627" spans="2:2">
      <c r="B627" s="16"/>
    </row>
    <row r="628" spans="2:2">
      <c r="B628" s="16"/>
    </row>
    <row r="629" spans="2:2">
      <c r="B629" s="16"/>
    </row>
    <row r="630" spans="2:2">
      <c r="B630" s="16"/>
    </row>
    <row r="631" spans="2:2">
      <c r="B631" s="16"/>
    </row>
    <row r="632" spans="2:2">
      <c r="B632" s="16"/>
    </row>
    <row r="633" spans="2:2">
      <c r="B633" s="16"/>
    </row>
    <row r="634" spans="2:2">
      <c r="B634" s="16"/>
    </row>
    <row r="635" spans="2:2">
      <c r="B635" s="16"/>
    </row>
    <row r="636" spans="2:2">
      <c r="B636" s="16"/>
    </row>
    <row r="637" spans="2:2">
      <c r="B637" s="16"/>
    </row>
    <row r="638" spans="2:2">
      <c r="B638" s="16"/>
    </row>
    <row r="639" spans="2:2">
      <c r="B639" s="16"/>
    </row>
    <row r="640" spans="2:2">
      <c r="B640" s="16"/>
    </row>
    <row r="641" spans="2:2">
      <c r="B641" s="16"/>
    </row>
    <row r="642" spans="2:2">
      <c r="B642" s="16"/>
    </row>
    <row r="643" spans="2:2">
      <c r="B643" s="16"/>
    </row>
    <row r="644" spans="2:2">
      <c r="B644" s="16"/>
    </row>
    <row r="645" spans="2:2">
      <c r="B645" s="16"/>
    </row>
    <row r="646" spans="2:2">
      <c r="B646" s="16"/>
    </row>
    <row r="647" spans="2:2">
      <c r="B647" s="16"/>
    </row>
    <row r="648" spans="2:2">
      <c r="B648" s="16"/>
    </row>
    <row r="649" spans="2:2">
      <c r="B649" s="16"/>
    </row>
    <row r="650" spans="2:2">
      <c r="B650" s="16"/>
    </row>
    <row r="651" spans="2:2">
      <c r="B651" s="16"/>
    </row>
    <row r="652" spans="2:2">
      <c r="B652" s="16"/>
    </row>
    <row r="653" spans="2:2">
      <c r="B653" s="16"/>
    </row>
    <row r="654" spans="2:2">
      <c r="B654" s="16"/>
    </row>
    <row r="655" spans="2:2">
      <c r="B655" s="16"/>
    </row>
    <row r="656" spans="2:2">
      <c r="B656" s="16"/>
    </row>
    <row r="657" spans="2:2">
      <c r="B657" s="16"/>
    </row>
    <row r="658" spans="2:2">
      <c r="B658" s="16"/>
    </row>
    <row r="659" spans="2:2">
      <c r="B659" s="16"/>
    </row>
    <row r="660" spans="2:2">
      <c r="B660" s="16"/>
    </row>
    <row r="661" spans="2:2">
      <c r="B661" s="16"/>
    </row>
    <row r="662" spans="2:2">
      <c r="B662" s="16"/>
    </row>
    <row r="663" spans="2:2">
      <c r="B663" s="16"/>
    </row>
    <row r="664" spans="2:2">
      <c r="B664" s="16"/>
    </row>
    <row r="665" spans="2:2">
      <c r="B665" s="16"/>
    </row>
    <row r="666" spans="2:2">
      <c r="B666" s="16"/>
    </row>
    <row r="667" spans="2:2">
      <c r="B667" s="16"/>
    </row>
    <row r="668" spans="2:2">
      <c r="B668" s="16"/>
    </row>
    <row r="669" spans="2:2">
      <c r="B669" s="16"/>
    </row>
    <row r="670" spans="2:2">
      <c r="B670" s="16"/>
    </row>
    <row r="671" spans="2:2">
      <c r="B671" s="16"/>
    </row>
    <row r="672" spans="2:2">
      <c r="B672" s="16"/>
    </row>
    <row r="673" spans="2:2">
      <c r="B673" s="16"/>
    </row>
    <row r="674" spans="2:2">
      <c r="B674" s="16"/>
    </row>
    <row r="675" spans="2:2">
      <c r="B675" s="16"/>
    </row>
    <row r="676" spans="2:2">
      <c r="B676" s="16"/>
    </row>
    <row r="677" spans="2:2">
      <c r="B677" s="16"/>
    </row>
    <row r="678" spans="2:2">
      <c r="B678" s="16"/>
    </row>
    <row r="679" spans="2:2">
      <c r="B679" s="16"/>
    </row>
    <row r="680" spans="2:2">
      <c r="B680" s="16"/>
    </row>
    <row r="681" spans="2:2">
      <c r="B681" s="16"/>
    </row>
    <row r="682" spans="2:2">
      <c r="B682" s="16"/>
    </row>
    <row r="683" spans="2:2">
      <c r="B683" s="16"/>
    </row>
    <row r="684" spans="2:2">
      <c r="B684" s="16"/>
    </row>
    <row r="685" spans="2:2">
      <c r="B685" s="16"/>
    </row>
    <row r="686" spans="2:2">
      <c r="B686" s="16"/>
    </row>
    <row r="687" spans="2:2">
      <c r="B687" s="16"/>
    </row>
    <row r="688" spans="2:2">
      <c r="B688" s="16"/>
    </row>
    <row r="689" spans="2:2">
      <c r="B689" s="16"/>
    </row>
    <row r="690" spans="2:2">
      <c r="B690" s="16"/>
    </row>
    <row r="691" spans="2:2">
      <c r="B691" s="16"/>
    </row>
    <row r="692" spans="2:2">
      <c r="B692" s="16"/>
    </row>
    <row r="693" spans="2:2">
      <c r="B693" s="16"/>
    </row>
    <row r="694" spans="2:2">
      <c r="B694" s="16"/>
    </row>
    <row r="695" spans="2:2">
      <c r="B695" s="16"/>
    </row>
    <row r="696" spans="2:2">
      <c r="B696" s="16"/>
    </row>
    <row r="697" spans="2:2">
      <c r="B697" s="16"/>
    </row>
    <row r="698" spans="2:2">
      <c r="B698" s="16"/>
    </row>
    <row r="699" spans="2:2">
      <c r="B699" s="16"/>
    </row>
    <row r="700" spans="2:2">
      <c r="B700" s="16"/>
    </row>
    <row r="701" spans="2:2">
      <c r="B701" s="16"/>
    </row>
    <row r="702" spans="2:2">
      <c r="B702" s="16"/>
    </row>
    <row r="703" spans="2:2">
      <c r="B703" s="16"/>
    </row>
    <row r="704" spans="2:2">
      <c r="B704" s="16"/>
    </row>
    <row r="705" spans="2:2">
      <c r="B705" s="16"/>
    </row>
    <row r="706" spans="2:2">
      <c r="B706" s="16"/>
    </row>
    <row r="707" spans="2:2">
      <c r="B707" s="16"/>
    </row>
    <row r="708" spans="2:2">
      <c r="B708" s="16"/>
    </row>
    <row r="709" spans="2:2">
      <c r="B709" s="16"/>
    </row>
    <row r="710" spans="2:2">
      <c r="B710" s="16"/>
    </row>
    <row r="711" spans="2:2">
      <c r="B711" s="16"/>
    </row>
    <row r="712" spans="2:2">
      <c r="B712" s="16"/>
    </row>
    <row r="713" spans="2:2">
      <c r="B713" s="16"/>
    </row>
    <row r="714" spans="2:2">
      <c r="B714" s="16"/>
    </row>
    <row r="715" spans="2:2">
      <c r="B715" s="16"/>
    </row>
    <row r="716" spans="2:2">
      <c r="B716" s="16"/>
    </row>
    <row r="717" spans="2:2">
      <c r="B717" s="16"/>
    </row>
    <row r="718" spans="2:2">
      <c r="B718" s="16"/>
    </row>
    <row r="719" spans="2:2">
      <c r="B719" s="16"/>
    </row>
    <row r="720" spans="2:2">
      <c r="B720" s="16"/>
    </row>
    <row r="721" spans="2:2">
      <c r="B721" s="16"/>
    </row>
    <row r="722" spans="2:2">
      <c r="B722" s="16"/>
    </row>
    <row r="723" spans="2:2">
      <c r="B723" s="16"/>
    </row>
    <row r="724" spans="2:2">
      <c r="B724" s="16"/>
    </row>
    <row r="725" spans="2:2">
      <c r="B725" s="16"/>
    </row>
    <row r="726" spans="2:2">
      <c r="B726" s="16"/>
    </row>
    <row r="727" spans="2:2">
      <c r="B727" s="16"/>
    </row>
    <row r="728" spans="2:2">
      <c r="B728" s="16"/>
    </row>
    <row r="729" spans="2:2">
      <c r="B729" s="16"/>
    </row>
    <row r="730" spans="2:2">
      <c r="B730" s="16"/>
    </row>
    <row r="731" spans="2:2">
      <c r="B731" s="16"/>
    </row>
    <row r="732" spans="2:2">
      <c r="B732" s="16"/>
    </row>
    <row r="733" spans="2:2">
      <c r="B733" s="16"/>
    </row>
    <row r="734" spans="2:2">
      <c r="B734" s="16"/>
    </row>
    <row r="735" spans="2:2">
      <c r="B735" s="16"/>
    </row>
    <row r="736" spans="2:2">
      <c r="B736" s="16"/>
    </row>
    <row r="737" spans="2:2">
      <c r="B737" s="16"/>
    </row>
    <row r="738" spans="2:2">
      <c r="B738" s="16"/>
    </row>
    <row r="739" spans="2:2">
      <c r="B739" s="16"/>
    </row>
    <row r="740" spans="2:2">
      <c r="B740" s="16"/>
    </row>
    <row r="741" spans="2:2">
      <c r="B741" s="16"/>
    </row>
    <row r="742" spans="2:2">
      <c r="B742" s="16"/>
    </row>
    <row r="743" spans="2:2">
      <c r="B743" s="16"/>
    </row>
    <row r="744" spans="2:2">
      <c r="B744" s="16"/>
    </row>
    <row r="745" spans="2:2">
      <c r="B745" s="16"/>
    </row>
    <row r="746" spans="2:2">
      <c r="B746" s="16"/>
    </row>
    <row r="747" spans="2:2">
      <c r="B747" s="16"/>
    </row>
    <row r="748" spans="2:2">
      <c r="B748" s="16"/>
    </row>
    <row r="749" spans="2:2">
      <c r="B749" s="16"/>
    </row>
    <row r="750" spans="2:2">
      <c r="B750" s="16"/>
    </row>
    <row r="751" spans="2:2">
      <c r="B751" s="16"/>
    </row>
    <row r="752" spans="2:2">
      <c r="B752" s="16"/>
    </row>
    <row r="753" spans="2:2">
      <c r="B753" s="16"/>
    </row>
    <row r="754" spans="2:2">
      <c r="B754" s="16"/>
    </row>
    <row r="755" spans="2:2">
      <c r="B755" s="16"/>
    </row>
    <row r="756" spans="2:2">
      <c r="B756" s="16"/>
    </row>
    <row r="757" spans="2:2">
      <c r="B757" s="16"/>
    </row>
    <row r="758" spans="2:2">
      <c r="B758" s="16"/>
    </row>
    <row r="759" spans="2:2">
      <c r="B759" s="16"/>
    </row>
    <row r="760" spans="2:2">
      <c r="B760" s="16"/>
    </row>
    <row r="761" spans="2:2">
      <c r="B761" s="16"/>
    </row>
    <row r="762" spans="2:2">
      <c r="B762" s="16"/>
    </row>
    <row r="763" spans="2:2">
      <c r="B763" s="16"/>
    </row>
    <row r="764" spans="2:2">
      <c r="B764" s="16"/>
    </row>
    <row r="765" spans="2:2">
      <c r="B765" s="16"/>
    </row>
    <row r="766" spans="2:2">
      <c r="B766" s="16"/>
    </row>
    <row r="767" spans="2:2">
      <c r="B767" s="16"/>
    </row>
    <row r="768" spans="2:2">
      <c r="B768" s="16"/>
    </row>
    <row r="769" spans="2:2">
      <c r="B769" s="16"/>
    </row>
    <row r="770" spans="2:2">
      <c r="B770" s="16"/>
    </row>
    <row r="771" spans="2:2">
      <c r="B771" s="16"/>
    </row>
    <row r="772" spans="2:2">
      <c r="B772" s="16"/>
    </row>
    <row r="773" spans="2:2">
      <c r="B773" s="16"/>
    </row>
    <row r="774" spans="2:2">
      <c r="B774" s="16"/>
    </row>
    <row r="775" spans="2:2">
      <c r="B775" s="16"/>
    </row>
    <row r="776" spans="2:2">
      <c r="B776" s="16"/>
    </row>
    <row r="777" spans="2:2">
      <c r="B777" s="16"/>
    </row>
    <row r="778" spans="2:2">
      <c r="B778" s="16"/>
    </row>
    <row r="779" spans="2:2">
      <c r="B779" s="16"/>
    </row>
    <row r="780" spans="2:2">
      <c r="B780" s="16"/>
    </row>
    <row r="781" spans="2:2">
      <c r="B781" s="16"/>
    </row>
    <row r="782" spans="2:2">
      <c r="B782" s="16"/>
    </row>
    <row r="783" spans="2:2">
      <c r="B783" s="16"/>
    </row>
    <row r="784" spans="2:2">
      <c r="B784" s="16"/>
    </row>
    <row r="785" spans="2:2">
      <c r="B785" s="16"/>
    </row>
    <row r="786" spans="2:2">
      <c r="B786" s="16"/>
    </row>
    <row r="787" spans="2:2">
      <c r="B787" s="16"/>
    </row>
    <row r="788" spans="2:2">
      <c r="B788" s="16"/>
    </row>
    <row r="789" spans="2:2">
      <c r="B789" s="16"/>
    </row>
    <row r="790" spans="2:2">
      <c r="B790" s="16"/>
    </row>
    <row r="791" spans="2:2">
      <c r="B791" s="16"/>
    </row>
    <row r="792" spans="2:2">
      <c r="B792" s="16"/>
    </row>
    <row r="793" spans="2:2">
      <c r="B793" s="16"/>
    </row>
    <row r="794" spans="2:2">
      <c r="B794" s="16"/>
    </row>
    <row r="795" spans="2:2">
      <c r="B795" s="16"/>
    </row>
    <row r="796" spans="2:2">
      <c r="B796" s="16"/>
    </row>
    <row r="797" spans="2:2">
      <c r="B797" s="16"/>
    </row>
    <row r="798" spans="2:2">
      <c r="B798" s="16"/>
    </row>
    <row r="799" spans="2:2">
      <c r="B799" s="16"/>
    </row>
    <row r="800" spans="2:2">
      <c r="B800" s="16"/>
    </row>
    <row r="801" spans="2:2">
      <c r="B801" s="16"/>
    </row>
    <row r="802" spans="2:2">
      <c r="B802" s="16"/>
    </row>
    <row r="803" spans="2:2">
      <c r="B803" s="16"/>
    </row>
    <row r="804" spans="2:2">
      <c r="B804" s="16"/>
    </row>
    <row r="805" spans="2:2">
      <c r="B805" s="16"/>
    </row>
    <row r="806" spans="2:2">
      <c r="B806" s="16"/>
    </row>
    <row r="807" spans="2:2">
      <c r="B807" s="16"/>
    </row>
    <row r="808" spans="2:2">
      <c r="B808" s="16"/>
    </row>
    <row r="809" spans="2:2">
      <c r="B809" s="16"/>
    </row>
    <row r="810" spans="2:2">
      <c r="B810" s="16"/>
    </row>
    <row r="811" spans="2:2">
      <c r="B811" s="16"/>
    </row>
    <row r="812" spans="2:2">
      <c r="B812" s="16"/>
    </row>
    <row r="813" spans="2:2">
      <c r="B813" s="16"/>
    </row>
    <row r="814" spans="2:2">
      <c r="B814" s="16"/>
    </row>
    <row r="815" spans="2:2">
      <c r="B815" s="16"/>
    </row>
    <row r="816" spans="2:2">
      <c r="B816" s="16"/>
    </row>
    <row r="817" spans="2:2">
      <c r="B817" s="16"/>
    </row>
    <row r="818" spans="2:2">
      <c r="B818" s="16"/>
    </row>
    <row r="819" spans="2:2">
      <c r="B819" s="16"/>
    </row>
    <row r="820" spans="2:2">
      <c r="B820" s="16"/>
    </row>
    <row r="821" spans="2:2">
      <c r="B821" s="16"/>
    </row>
    <row r="822" spans="2:2">
      <c r="B822" s="16"/>
    </row>
    <row r="823" spans="2:2">
      <c r="B823" s="16"/>
    </row>
    <row r="824" spans="2:2">
      <c r="B824" s="16"/>
    </row>
    <row r="825" spans="2:2">
      <c r="B825" s="16"/>
    </row>
    <row r="826" spans="2:2">
      <c r="B826" s="16"/>
    </row>
    <row r="827" spans="2:2">
      <c r="B827" s="16"/>
    </row>
    <row r="828" spans="2:2">
      <c r="B828" s="16"/>
    </row>
    <row r="829" spans="2:2">
      <c r="B829" s="16"/>
    </row>
    <row r="830" spans="2:2">
      <c r="B830" s="16"/>
    </row>
    <row r="831" spans="2:2">
      <c r="B831" s="16"/>
    </row>
    <row r="832" spans="2:2">
      <c r="B832" s="16"/>
    </row>
    <row r="833" spans="2:2">
      <c r="B833" s="16"/>
    </row>
    <row r="834" spans="2:2">
      <c r="B834" s="16"/>
    </row>
    <row r="835" spans="2:2">
      <c r="B835" s="16"/>
    </row>
    <row r="836" spans="2:2">
      <c r="B836" s="16"/>
    </row>
    <row r="837" spans="2:2">
      <c r="B837" s="16"/>
    </row>
    <row r="838" spans="2:2">
      <c r="B838" s="16"/>
    </row>
    <row r="839" spans="2:2">
      <c r="B839" s="16"/>
    </row>
    <row r="840" spans="2:2">
      <c r="B840" s="16"/>
    </row>
    <row r="841" spans="2:2">
      <c r="B841" s="16"/>
    </row>
    <row r="842" spans="2:2">
      <c r="B842" s="16"/>
    </row>
    <row r="843" spans="2:2">
      <c r="B843" s="16"/>
    </row>
    <row r="844" spans="2:2">
      <c r="B844" s="16"/>
    </row>
    <row r="845" spans="2:2">
      <c r="B845" s="16"/>
    </row>
    <row r="846" spans="2:2">
      <c r="B846" s="16"/>
    </row>
    <row r="847" spans="2:2">
      <c r="B847" s="16"/>
    </row>
    <row r="848" spans="2:2">
      <c r="B848" s="16"/>
    </row>
    <row r="849" spans="2:2">
      <c r="B849" s="16"/>
    </row>
    <row r="850" spans="2:2">
      <c r="B850" s="16"/>
    </row>
    <row r="851" spans="2:2">
      <c r="B851" s="16"/>
    </row>
    <row r="852" spans="2:2">
      <c r="B852" s="16"/>
    </row>
    <row r="853" spans="2:2">
      <c r="B853" s="16"/>
    </row>
    <row r="854" spans="2:2">
      <c r="B854" s="16"/>
    </row>
    <row r="855" spans="2:2">
      <c r="B855" s="16"/>
    </row>
    <row r="856" spans="2:2">
      <c r="B856" s="16"/>
    </row>
    <row r="857" spans="2:2">
      <c r="B857" s="16"/>
    </row>
    <row r="858" spans="2:2">
      <c r="B858" s="16"/>
    </row>
    <row r="859" spans="2:2">
      <c r="B859" s="16"/>
    </row>
    <row r="860" spans="2:2">
      <c r="B860" s="16"/>
    </row>
    <row r="861" spans="2:2">
      <c r="B861" s="16"/>
    </row>
    <row r="862" spans="2:2">
      <c r="B862" s="16"/>
    </row>
    <row r="863" spans="2:2">
      <c r="B863" s="16"/>
    </row>
    <row r="864" spans="2:2">
      <c r="B864" s="16"/>
    </row>
    <row r="865" spans="2:2">
      <c r="B865" s="16"/>
    </row>
    <row r="866" spans="2:2">
      <c r="B866" s="16"/>
    </row>
    <row r="867" spans="2:2">
      <c r="B867" s="16"/>
    </row>
    <row r="868" spans="2:2">
      <c r="B868" s="16"/>
    </row>
    <row r="869" spans="2:2">
      <c r="B869" s="16"/>
    </row>
    <row r="870" spans="2:2">
      <c r="B870" s="16"/>
    </row>
    <row r="871" spans="2:2">
      <c r="B871" s="16"/>
    </row>
    <row r="872" spans="2:2">
      <c r="B872" s="16"/>
    </row>
    <row r="873" spans="2:2">
      <c r="B873" s="16"/>
    </row>
    <row r="874" spans="2:2">
      <c r="B874" s="16"/>
    </row>
    <row r="875" spans="2:2">
      <c r="B875" s="16"/>
    </row>
    <row r="876" spans="2:2">
      <c r="B876" s="16"/>
    </row>
    <row r="877" spans="2:2">
      <c r="B877" s="16"/>
    </row>
    <row r="878" spans="2:2">
      <c r="B878" s="16"/>
    </row>
    <row r="879" spans="2:2">
      <c r="B879" s="16"/>
    </row>
    <row r="880" spans="2:2">
      <c r="B880" s="16"/>
    </row>
    <row r="881" spans="2:2">
      <c r="B881" s="16"/>
    </row>
    <row r="882" spans="2:2">
      <c r="B882" s="16"/>
    </row>
    <row r="883" spans="2:2">
      <c r="B883" s="16"/>
    </row>
    <row r="884" spans="2:2">
      <c r="B884" s="16"/>
    </row>
    <row r="885" spans="2:2">
      <c r="B885" s="16"/>
    </row>
    <row r="886" spans="2:2">
      <c r="B886" s="16"/>
    </row>
    <row r="887" spans="2:2">
      <c r="B887" s="16"/>
    </row>
    <row r="888" spans="2:2">
      <c r="B888" s="16"/>
    </row>
    <row r="889" spans="2:2">
      <c r="B889" s="16"/>
    </row>
    <row r="890" spans="2:2">
      <c r="B890" s="16"/>
    </row>
    <row r="891" spans="2:2">
      <c r="B891" s="16"/>
    </row>
    <row r="892" spans="2:2">
      <c r="B892" s="16"/>
    </row>
    <row r="893" spans="2:2">
      <c r="B893" s="16"/>
    </row>
    <row r="894" spans="2:2">
      <c r="B894" s="16"/>
    </row>
    <row r="895" spans="2:2">
      <c r="B895" s="16"/>
    </row>
    <row r="896" spans="2:2">
      <c r="B896" s="16"/>
    </row>
    <row r="897" spans="2:2">
      <c r="B897" s="16"/>
    </row>
    <row r="898" spans="2:2">
      <c r="B898" s="16"/>
    </row>
    <row r="899" spans="2:2">
      <c r="B899" s="16"/>
    </row>
    <row r="900" spans="2:2">
      <c r="B900" s="16"/>
    </row>
    <row r="901" spans="2:2">
      <c r="B901" s="16"/>
    </row>
    <row r="902" spans="2:2">
      <c r="B902" s="16"/>
    </row>
    <row r="903" spans="2:2">
      <c r="B903" s="16"/>
    </row>
    <row r="904" spans="2:2">
      <c r="B904" s="16"/>
    </row>
    <row r="905" spans="2:2">
      <c r="B905" s="16"/>
    </row>
    <row r="906" spans="2:2">
      <c r="B906" s="16"/>
    </row>
    <row r="907" spans="2:2">
      <c r="B907" s="16"/>
    </row>
    <row r="908" spans="2:2">
      <c r="B908" s="16"/>
    </row>
    <row r="909" spans="2:2">
      <c r="B909" s="16"/>
    </row>
    <row r="910" spans="2:2">
      <c r="B910" s="16"/>
    </row>
    <row r="911" spans="2:2">
      <c r="B911" s="16"/>
    </row>
    <row r="912" spans="2:2">
      <c r="B912" s="16"/>
    </row>
    <row r="913" spans="2:2">
      <c r="B913" s="16"/>
    </row>
    <row r="914" spans="2:2">
      <c r="B914" s="16"/>
    </row>
    <row r="915" spans="2:2">
      <c r="B915" s="16"/>
    </row>
    <row r="916" spans="2:2">
      <c r="B916" s="16"/>
    </row>
    <row r="917" spans="2:2">
      <c r="B917" s="16"/>
    </row>
    <row r="918" spans="2:2">
      <c r="B918" s="16"/>
    </row>
    <row r="919" spans="2:2">
      <c r="B919" s="16"/>
    </row>
    <row r="920" spans="2:2">
      <c r="B920" s="16"/>
    </row>
    <row r="921" spans="2:2">
      <c r="B921" s="16"/>
    </row>
    <row r="922" spans="2:2">
      <c r="B922" s="16"/>
    </row>
    <row r="923" spans="2:2">
      <c r="B923" s="16"/>
    </row>
    <row r="924" spans="2:2">
      <c r="B924" s="16"/>
    </row>
    <row r="925" spans="2:2">
      <c r="B925" s="16"/>
    </row>
    <row r="926" spans="2:2">
      <c r="B926" s="16"/>
    </row>
    <row r="927" spans="2:2">
      <c r="B927" s="16"/>
    </row>
    <row r="928" spans="2:2">
      <c r="B928" s="16"/>
    </row>
    <row r="929" spans="2:2">
      <c r="B929" s="16"/>
    </row>
    <row r="930" spans="2:2">
      <c r="B930" s="16"/>
    </row>
    <row r="931" spans="2:2">
      <c r="B931" s="16"/>
    </row>
    <row r="932" spans="2:2">
      <c r="B932" s="16"/>
    </row>
    <row r="933" spans="2:2">
      <c r="B933" s="16"/>
    </row>
    <row r="934" spans="2:2">
      <c r="B934" s="16"/>
    </row>
    <row r="935" spans="2:2">
      <c r="B935" s="16"/>
    </row>
    <row r="936" spans="2:2">
      <c r="B936" s="16"/>
    </row>
    <row r="937" spans="2:2">
      <c r="B937" s="16"/>
    </row>
    <row r="938" spans="2:2">
      <c r="B938" s="16"/>
    </row>
    <row r="939" spans="2:2">
      <c r="B939" s="16"/>
    </row>
    <row r="940" spans="2:2">
      <c r="B940" s="16"/>
    </row>
    <row r="941" spans="2:2">
      <c r="B941" s="16"/>
    </row>
    <row r="942" spans="2:2">
      <c r="B942" s="16"/>
    </row>
    <row r="943" spans="2:2">
      <c r="B943" s="16"/>
    </row>
    <row r="944" spans="2:2">
      <c r="B944" s="16"/>
    </row>
    <row r="945" spans="2:2">
      <c r="B945" s="16"/>
    </row>
    <row r="946" spans="2:2">
      <c r="B946" s="16"/>
    </row>
    <row r="947" spans="2:2">
      <c r="B947" s="16"/>
    </row>
    <row r="948" spans="2:2">
      <c r="B948" s="16"/>
    </row>
    <row r="949" spans="2:2">
      <c r="B949" s="16"/>
    </row>
    <row r="950" spans="2:2">
      <c r="B950" s="16"/>
    </row>
    <row r="951" spans="2:2">
      <c r="B951" s="16"/>
    </row>
    <row r="952" spans="2:2">
      <c r="B952" s="16"/>
    </row>
    <row r="953" spans="2:2">
      <c r="B953" s="16"/>
    </row>
    <row r="954" spans="2:2">
      <c r="B954" s="16"/>
    </row>
    <row r="955" spans="2:2">
      <c r="B955" s="16"/>
    </row>
    <row r="956" spans="2:2">
      <c r="B956" s="16"/>
    </row>
    <row r="957" spans="2:2">
      <c r="B957" s="16"/>
    </row>
    <row r="958" spans="2:2">
      <c r="B958" s="16"/>
    </row>
    <row r="959" spans="2:2">
      <c r="B959" s="16"/>
    </row>
    <row r="960" spans="2:2">
      <c r="B960" s="16"/>
    </row>
    <row r="961" spans="2:2">
      <c r="B961" s="16"/>
    </row>
    <row r="962" spans="2:2">
      <c r="B962" s="16"/>
    </row>
    <row r="963" spans="2:2">
      <c r="B963" s="16"/>
    </row>
    <row r="964" spans="2:2">
      <c r="B964" s="16"/>
    </row>
    <row r="965" spans="2:2">
      <c r="B965" s="16"/>
    </row>
    <row r="966" spans="2:2">
      <c r="B966" s="16"/>
    </row>
    <row r="967" spans="2:2">
      <c r="B967" s="16"/>
    </row>
    <row r="968" spans="2:2">
      <c r="B968" s="16"/>
    </row>
    <row r="969" spans="2:2">
      <c r="B969" s="16"/>
    </row>
    <row r="970" spans="2:2">
      <c r="B970" s="16"/>
    </row>
    <row r="971" spans="2:2">
      <c r="B971" s="16"/>
    </row>
    <row r="972" spans="2:2">
      <c r="B972" s="16"/>
    </row>
    <row r="973" spans="2:2">
      <c r="B973" s="16"/>
    </row>
    <row r="974" spans="2:2">
      <c r="B974" s="16"/>
    </row>
    <row r="975" spans="2:2">
      <c r="B975" s="16"/>
    </row>
    <row r="976" spans="2:2">
      <c r="B976" s="16"/>
    </row>
    <row r="977" spans="2:2">
      <c r="B977" s="16"/>
    </row>
    <row r="978" spans="2:2">
      <c r="B978" s="16"/>
    </row>
    <row r="979" spans="2:2">
      <c r="B979" s="16"/>
    </row>
    <row r="980" spans="2:2">
      <c r="B980" s="16"/>
    </row>
    <row r="981" spans="2:2">
      <c r="B981" s="16"/>
    </row>
    <row r="982" spans="2:2">
      <c r="B982" s="16"/>
    </row>
    <row r="983" spans="2:2">
      <c r="B983" s="16"/>
    </row>
    <row r="984" spans="2:2">
      <c r="B984" s="16"/>
    </row>
    <row r="985" spans="2:2">
      <c r="B985" s="16"/>
    </row>
    <row r="986" spans="2:2">
      <c r="B986" s="16"/>
    </row>
    <row r="987" spans="2:2">
      <c r="B987" s="16"/>
    </row>
    <row r="988" spans="2:2">
      <c r="B988" s="16"/>
    </row>
    <row r="989" spans="2:2">
      <c r="B989" s="16"/>
    </row>
    <row r="990" spans="2:2">
      <c r="B990" s="16"/>
    </row>
    <row r="991" spans="2:2">
      <c r="B991" s="16"/>
    </row>
    <row r="992" spans="2:2">
      <c r="B992" s="16"/>
    </row>
    <row r="993" spans="2:2">
      <c r="B993" s="16"/>
    </row>
    <row r="994" spans="2:2">
      <c r="B994" s="16"/>
    </row>
    <row r="995" spans="2:2">
      <c r="B995" s="16"/>
    </row>
    <row r="996" spans="2:2">
      <c r="B996" s="16"/>
    </row>
    <row r="997" spans="2:2">
      <c r="B997" s="16"/>
    </row>
    <row r="998" spans="2:2">
      <c r="B998" s="16"/>
    </row>
    <row r="999" spans="2:2">
      <c r="B999" s="16"/>
    </row>
    <row r="1000" spans="2:2">
      <c r="B1000" s="16"/>
    </row>
    <row r="1001" spans="2:2">
      <c r="B1001" s="16"/>
    </row>
    <row r="1002" spans="2:2">
      <c r="B1002" s="16"/>
    </row>
    <row r="1003" spans="2:2">
      <c r="B1003" s="16"/>
    </row>
    <row r="1004" spans="2:2">
      <c r="B1004" s="16"/>
    </row>
    <row r="1005" spans="2:2">
      <c r="B1005" s="16"/>
    </row>
    <row r="1006" spans="2:2">
      <c r="B1006" s="16"/>
    </row>
    <row r="1007" spans="2:2">
      <c r="B1007" s="16"/>
    </row>
    <row r="1008" spans="2:2">
      <c r="B1008" s="16"/>
    </row>
    <row r="1009" spans="2:2">
      <c r="B1009" s="16"/>
    </row>
    <row r="1010" spans="2:2">
      <c r="B1010" s="16"/>
    </row>
    <row r="1011" spans="2:2">
      <c r="B1011" s="16"/>
    </row>
    <row r="1012" spans="2:2">
      <c r="B1012" s="16"/>
    </row>
    <row r="1013" spans="2:2">
      <c r="B1013" s="16"/>
    </row>
    <row r="1014" spans="2:2">
      <c r="B1014" s="16"/>
    </row>
    <row r="1015" spans="2:2">
      <c r="B1015" s="16"/>
    </row>
    <row r="1016" spans="2:2">
      <c r="B1016" s="16"/>
    </row>
    <row r="1017" spans="2:2">
      <c r="B1017" s="16"/>
    </row>
    <row r="1018" spans="2:2">
      <c r="B1018" s="16"/>
    </row>
    <row r="1019" spans="2:2">
      <c r="B1019" s="16"/>
    </row>
    <row r="1020" spans="2:2">
      <c r="B1020" s="16"/>
    </row>
    <row r="1021" spans="2:2">
      <c r="B1021" s="16"/>
    </row>
    <row r="1022" spans="2:2">
      <c r="B1022" s="16"/>
    </row>
    <row r="1023" spans="2:2">
      <c r="B1023" s="16"/>
    </row>
    <row r="1024" spans="2:2">
      <c r="B1024" s="16"/>
    </row>
    <row r="1025" spans="2:2">
      <c r="B1025" s="16"/>
    </row>
    <row r="1026" spans="2:2">
      <c r="B1026" s="16"/>
    </row>
    <row r="1027" spans="2:2">
      <c r="B1027" s="16"/>
    </row>
    <row r="1028" spans="2:2">
      <c r="B1028" s="16"/>
    </row>
    <row r="1029" spans="2:2">
      <c r="B1029" s="16"/>
    </row>
    <row r="1030" spans="2:2">
      <c r="B1030" s="16"/>
    </row>
    <row r="1031" spans="2:2">
      <c r="B1031" s="16"/>
    </row>
    <row r="1032" spans="2:2">
      <c r="B1032" s="16"/>
    </row>
    <row r="1033" spans="2:2">
      <c r="B1033" s="16"/>
    </row>
    <row r="1034" spans="2:2">
      <c r="B1034" s="16"/>
    </row>
    <row r="1035" spans="2:2">
      <c r="B1035" s="16"/>
    </row>
    <row r="1036" spans="2:2">
      <c r="B1036" s="16"/>
    </row>
    <row r="1037" spans="2:2">
      <c r="B1037" s="16"/>
    </row>
    <row r="1038" spans="2:2">
      <c r="B1038" s="16"/>
    </row>
    <row r="1039" spans="2:2">
      <c r="B1039" s="16"/>
    </row>
    <row r="1040" spans="2:2">
      <c r="B1040" s="16"/>
    </row>
    <row r="1041" spans="2:2">
      <c r="B1041" s="16"/>
    </row>
    <row r="1042" spans="2:2">
      <c r="B1042" s="16"/>
    </row>
    <row r="1043" spans="2:2">
      <c r="B1043" s="16"/>
    </row>
    <row r="1044" spans="2:2">
      <c r="B1044" s="16"/>
    </row>
    <row r="1045" spans="2:2">
      <c r="B1045" s="16"/>
    </row>
    <row r="1046" spans="2:2">
      <c r="B1046" s="16"/>
    </row>
    <row r="1047" spans="2:2">
      <c r="B1047" s="16"/>
    </row>
    <row r="1048" spans="2:2">
      <c r="B1048" s="16"/>
    </row>
    <row r="1049" spans="2:2">
      <c r="B1049" s="16"/>
    </row>
    <row r="1050" spans="2:2">
      <c r="B1050" s="16"/>
    </row>
    <row r="1051" spans="2:2">
      <c r="B1051" s="16"/>
    </row>
    <row r="1052" spans="2:2">
      <c r="B1052" s="16"/>
    </row>
    <row r="1053" spans="2:2">
      <c r="B1053" s="16"/>
    </row>
    <row r="1054" spans="2:2">
      <c r="B1054" s="16"/>
    </row>
    <row r="1055" spans="2:2">
      <c r="B1055" s="16"/>
    </row>
    <row r="1056" spans="2:2">
      <c r="B1056" s="16"/>
    </row>
    <row r="1057" spans="2:2">
      <c r="B1057" s="16"/>
    </row>
    <row r="1058" spans="2:2">
      <c r="B1058" s="16"/>
    </row>
    <row r="1059" spans="2:2">
      <c r="B1059" s="16"/>
    </row>
    <row r="1060" spans="2:2">
      <c r="B1060" s="16"/>
    </row>
    <row r="1061" spans="2:2">
      <c r="B1061" s="16"/>
    </row>
    <row r="1062" spans="2:2">
      <c r="B1062" s="16"/>
    </row>
    <row r="1063" spans="2:2">
      <c r="B1063" s="16"/>
    </row>
    <row r="1064" spans="2:2">
      <c r="B1064" s="16"/>
    </row>
    <row r="1065" spans="2:2">
      <c r="B1065" s="16"/>
    </row>
    <row r="1066" spans="2:2">
      <c r="B1066" s="16"/>
    </row>
    <row r="1067" spans="2:2">
      <c r="B1067" s="16"/>
    </row>
    <row r="1068" spans="2:2">
      <c r="B1068" s="16"/>
    </row>
    <row r="1069" spans="2:2">
      <c r="B1069" s="16"/>
    </row>
    <row r="1070" spans="2:2">
      <c r="B1070" s="16"/>
    </row>
    <row r="1071" spans="2:2">
      <c r="B1071" s="16"/>
    </row>
    <row r="1072" spans="2:2">
      <c r="B1072" s="16"/>
    </row>
    <row r="1073" spans="2:2">
      <c r="B1073" s="16"/>
    </row>
    <row r="1074" spans="2:2">
      <c r="B1074" s="16"/>
    </row>
    <row r="1075" spans="2:2">
      <c r="B1075" s="16"/>
    </row>
    <row r="1076" spans="2:2">
      <c r="B1076" s="16"/>
    </row>
    <row r="1077" spans="2:2">
      <c r="B1077" s="16"/>
    </row>
    <row r="1078" spans="2:2">
      <c r="B1078" s="16"/>
    </row>
    <row r="1079" spans="2:2">
      <c r="B1079" s="16"/>
    </row>
    <row r="1080" spans="2:2">
      <c r="B1080" s="16"/>
    </row>
    <row r="1081" spans="2:2">
      <c r="B1081" s="16"/>
    </row>
    <row r="1082" spans="2:2">
      <c r="B1082" s="16"/>
    </row>
    <row r="1083" spans="2:2">
      <c r="B1083" s="16"/>
    </row>
    <row r="1084" spans="2:2">
      <c r="B1084" s="16"/>
    </row>
    <row r="1085" spans="2:2">
      <c r="B1085" s="16"/>
    </row>
    <row r="1086" spans="2:2">
      <c r="B1086" s="16"/>
    </row>
    <row r="1087" spans="2:2">
      <c r="B1087" s="16"/>
    </row>
    <row r="1088" spans="2:2">
      <c r="B1088" s="16"/>
    </row>
    <row r="1089" spans="2:2">
      <c r="B1089" s="16"/>
    </row>
    <row r="1090" spans="2:2">
      <c r="B1090" s="16"/>
    </row>
    <row r="1091" spans="2:2">
      <c r="B1091" s="16"/>
    </row>
    <row r="1092" spans="2:2">
      <c r="B1092" s="16"/>
    </row>
    <row r="1093" spans="2:2">
      <c r="B1093" s="16"/>
    </row>
    <row r="1094" spans="2:2">
      <c r="B1094" s="16"/>
    </row>
    <row r="1095" spans="2:2">
      <c r="B1095" s="16"/>
    </row>
    <row r="1096" spans="2:2">
      <c r="B1096" s="16"/>
    </row>
    <row r="1097" spans="2:2">
      <c r="B1097" s="16"/>
    </row>
    <row r="1098" spans="2:2">
      <c r="B1098" s="16"/>
    </row>
    <row r="1099" spans="2:2">
      <c r="B1099" s="16"/>
    </row>
    <row r="1100" spans="2:2">
      <c r="B1100" s="16"/>
    </row>
    <row r="1101" spans="2:2">
      <c r="B1101" s="16"/>
    </row>
    <row r="1102" spans="2:2">
      <c r="B1102" s="16"/>
    </row>
    <row r="1103" spans="2:2">
      <c r="B1103" s="16"/>
    </row>
    <row r="1104" spans="2:2">
      <c r="B1104" s="16"/>
    </row>
    <row r="1105" spans="2:2">
      <c r="B1105" s="16"/>
    </row>
    <row r="1106" spans="2:2">
      <c r="B1106" s="16"/>
    </row>
    <row r="1107" spans="2:2">
      <c r="B1107" s="16"/>
    </row>
    <row r="1108" spans="2:2">
      <c r="B1108" s="16"/>
    </row>
  </sheetData>
  <sheetProtection selectLockedCells="1"/>
  <dataValidations count="1">
    <dataValidation type="list" allowBlank="1" showErrorMessage="1" sqref="B1076:B1077 AE18:AE19">
      <formula1>DEPARTAMENTO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27"/>
  <sheetViews>
    <sheetView workbookViewId="0">
      <selection activeCell="B12" sqref="B12"/>
    </sheetView>
  </sheetViews>
  <sheetFormatPr baseColWidth="10" defaultRowHeight="14.25"/>
  <cols>
    <col min="1" max="1" width="22.875" customWidth="1"/>
    <col min="2" max="2" width="128.625" customWidth="1"/>
  </cols>
  <sheetData>
    <row r="2" spans="1:2">
      <c r="A2" s="31" t="s">
        <v>1896</v>
      </c>
    </row>
    <row r="3" spans="1:2">
      <c r="A3" t="s">
        <v>1897</v>
      </c>
    </row>
    <row r="4" spans="1:2">
      <c r="A4" t="s">
        <v>1898</v>
      </c>
    </row>
    <row r="8" spans="1:2">
      <c r="A8" s="31" t="s">
        <v>1897</v>
      </c>
      <c r="B8" s="31" t="s">
        <v>1898</v>
      </c>
    </row>
    <row r="9" spans="1:2">
      <c r="A9" t="s">
        <v>1890</v>
      </c>
      <c r="B9" t="s">
        <v>1851</v>
      </c>
    </row>
    <row r="10" spans="1:2">
      <c r="A10" t="s">
        <v>1891</v>
      </c>
      <c r="B10" t="s">
        <v>1852</v>
      </c>
    </row>
    <row r="11" spans="1:2">
      <c r="A11" t="s">
        <v>1892</v>
      </c>
      <c r="B11" t="s">
        <v>1853</v>
      </c>
    </row>
    <row r="12" spans="1:2">
      <c r="A12" t="s">
        <v>1893</v>
      </c>
      <c r="B12" t="s">
        <v>1854</v>
      </c>
    </row>
    <row r="13" spans="1:2">
      <c r="A13" t="s">
        <v>1894</v>
      </c>
      <c r="B13" t="s">
        <v>1855</v>
      </c>
    </row>
    <row r="14" spans="1:2">
      <c r="A14" t="s">
        <v>1899</v>
      </c>
      <c r="B14" t="s">
        <v>1590</v>
      </c>
    </row>
    <row r="15" spans="1:2">
      <c r="B15" t="s">
        <v>1856</v>
      </c>
    </row>
    <row r="16" spans="1:2">
      <c r="B16" t="s">
        <v>1857</v>
      </c>
    </row>
    <row r="17" spans="2:2">
      <c r="B17" t="s">
        <v>1858</v>
      </c>
    </row>
    <row r="18" spans="2:2">
      <c r="B18" t="s">
        <v>1859</v>
      </c>
    </row>
    <row r="19" spans="2:2">
      <c r="B19" t="s">
        <v>1860</v>
      </c>
    </row>
    <row r="20" spans="2:2">
      <c r="B20" t="s">
        <v>1861</v>
      </c>
    </row>
    <row r="21" spans="2:2">
      <c r="B21" t="s">
        <v>1888</v>
      </c>
    </row>
    <row r="22" spans="2:2">
      <c r="B22" t="s">
        <v>1887</v>
      </c>
    </row>
    <row r="23" spans="2:2">
      <c r="B23" t="s">
        <v>1886</v>
      </c>
    </row>
    <row r="24" spans="2:2">
      <c r="B24" t="s">
        <v>1786</v>
      </c>
    </row>
    <row r="25" spans="2:2">
      <c r="B25" t="s">
        <v>1883</v>
      </c>
    </row>
    <row r="26" spans="2:2">
      <c r="B26" t="s">
        <v>1885</v>
      </c>
    </row>
    <row r="27" spans="2:2">
      <c r="B27" t="s">
        <v>1884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4"/>
  <sheetViews>
    <sheetView topLeftCell="E1" workbookViewId="0">
      <selection activeCell="L18" sqref="L18:X19"/>
    </sheetView>
  </sheetViews>
  <sheetFormatPr baseColWidth="10" defaultRowHeight="14.25"/>
  <cols>
    <col min="1" max="1" width="65.625" customWidth="1"/>
    <col min="2" max="2" width="70.125" customWidth="1"/>
    <col min="3" max="3" width="75.875" customWidth="1"/>
    <col min="4" max="4" width="66.625" customWidth="1"/>
    <col min="5" max="5" width="49.875" customWidth="1"/>
    <col min="6" max="6" width="65.5" customWidth="1"/>
  </cols>
  <sheetData>
    <row r="1" spans="1:6" s="32" customFormat="1">
      <c r="A1" s="31" t="s">
        <v>1890</v>
      </c>
      <c r="B1" s="31" t="s">
        <v>1891</v>
      </c>
      <c r="C1" s="41" t="s">
        <v>1892</v>
      </c>
      <c r="D1" s="31" t="s">
        <v>1893</v>
      </c>
      <c r="E1" s="31" t="s">
        <v>1894</v>
      </c>
      <c r="F1" s="31" t="s">
        <v>1900</v>
      </c>
    </row>
    <row r="2" spans="1:6" ht="21.95" customHeight="1">
      <c r="A2" s="22" t="s">
        <v>1208</v>
      </c>
      <c r="B2" s="39" t="s">
        <v>1244</v>
      </c>
      <c r="C2" s="23" t="s">
        <v>1265</v>
      </c>
      <c r="D2" s="40" t="s">
        <v>1289</v>
      </c>
      <c r="E2" s="22" t="s">
        <v>1299</v>
      </c>
      <c r="F2" s="22" t="s">
        <v>1306</v>
      </c>
    </row>
    <row r="3" spans="1:6" ht="23.25" customHeight="1">
      <c r="A3" s="22" t="s">
        <v>1209</v>
      </c>
      <c r="B3" s="39" t="s">
        <v>1245</v>
      </c>
      <c r="C3" s="23" t="s">
        <v>1266</v>
      </c>
      <c r="D3" s="40" t="s">
        <v>1290</v>
      </c>
      <c r="E3" s="22" t="s">
        <v>1300</v>
      </c>
      <c r="F3" s="22" t="s">
        <v>1889</v>
      </c>
    </row>
    <row r="4" spans="1:6" ht="27" customHeight="1">
      <c r="A4" s="22" t="s">
        <v>1210</v>
      </c>
      <c r="B4" s="39" t="s">
        <v>1246</v>
      </c>
      <c r="C4" s="23" t="s">
        <v>1267</v>
      </c>
      <c r="D4" s="40" t="s">
        <v>1291</v>
      </c>
      <c r="E4" s="22" t="s">
        <v>1301</v>
      </c>
      <c r="F4" s="22" t="s">
        <v>1307</v>
      </c>
    </row>
    <row r="5" spans="1:6" ht="31.5" customHeight="1">
      <c r="A5" s="22" t="s">
        <v>1211</v>
      </c>
      <c r="B5" s="39" t="s">
        <v>1247</v>
      </c>
      <c r="C5" s="22" t="s">
        <v>1268</v>
      </c>
      <c r="D5" s="40" t="s">
        <v>1292</v>
      </c>
      <c r="E5" s="22" t="s">
        <v>1302</v>
      </c>
      <c r="F5" s="22" t="s">
        <v>1308</v>
      </c>
    </row>
    <row r="6" spans="1:6" ht="24" customHeight="1">
      <c r="A6" s="22" t="s">
        <v>1212</v>
      </c>
      <c r="B6" s="39" t="s">
        <v>1248</v>
      </c>
      <c r="C6" s="22" t="s">
        <v>1269</v>
      </c>
      <c r="D6" s="40" t="s">
        <v>1293</v>
      </c>
      <c r="E6" s="22" t="s">
        <v>1303</v>
      </c>
      <c r="F6" s="22" t="s">
        <v>1309</v>
      </c>
    </row>
    <row r="7" spans="1:6" ht="22.5" customHeight="1">
      <c r="A7" s="22" t="s">
        <v>1213</v>
      </c>
      <c r="B7" s="39" t="s">
        <v>1249</v>
      </c>
      <c r="C7" s="23" t="s">
        <v>1270</v>
      </c>
      <c r="D7" s="40" t="s">
        <v>1294</v>
      </c>
      <c r="E7" s="22" t="s">
        <v>1304</v>
      </c>
      <c r="F7" s="22" t="s">
        <v>1310</v>
      </c>
    </row>
    <row r="8" spans="1:6" ht="28.5" customHeight="1">
      <c r="A8" s="22" t="s">
        <v>1214</v>
      </c>
      <c r="B8" s="39" t="s">
        <v>1250</v>
      </c>
      <c r="C8" s="23" t="s">
        <v>1271</v>
      </c>
      <c r="D8" s="40" t="s">
        <v>1295</v>
      </c>
      <c r="E8" s="22" t="s">
        <v>1305</v>
      </c>
      <c r="F8" s="22" t="s">
        <v>1311</v>
      </c>
    </row>
    <row r="9" spans="1:6" ht="22.5" customHeight="1">
      <c r="A9" s="22" t="s">
        <v>1215</v>
      </c>
      <c r="B9" s="39" t="s">
        <v>1251</v>
      </c>
      <c r="C9" s="23" t="s">
        <v>1272</v>
      </c>
      <c r="D9" s="40" t="s">
        <v>1296</v>
      </c>
    </row>
    <row r="10" spans="1:6" ht="21" customHeight="1">
      <c r="A10" s="22" t="s">
        <v>1216</v>
      </c>
      <c r="B10" s="39" t="s">
        <v>1252</v>
      </c>
      <c r="C10" s="22" t="s">
        <v>1273</v>
      </c>
      <c r="D10" s="40" t="s">
        <v>1297</v>
      </c>
    </row>
    <row r="11" spans="1:6" ht="21" customHeight="1">
      <c r="A11" s="22" t="s">
        <v>1217</v>
      </c>
      <c r="B11" s="39" t="s">
        <v>1253</v>
      </c>
      <c r="C11" s="22" t="s">
        <v>1274</v>
      </c>
      <c r="D11" s="40" t="s">
        <v>1298</v>
      </c>
    </row>
    <row r="12" spans="1:6" ht="21" customHeight="1">
      <c r="A12" s="22" t="s">
        <v>1218</v>
      </c>
      <c r="B12" s="39" t="s">
        <v>1254</v>
      </c>
      <c r="C12" s="22" t="s">
        <v>1275</v>
      </c>
    </row>
    <row r="13" spans="1:6" ht="21" customHeight="1">
      <c r="A13" s="22" t="s">
        <v>1219</v>
      </c>
      <c r="B13" s="39" t="s">
        <v>1255</v>
      </c>
      <c r="C13" s="22" t="s">
        <v>1276</v>
      </c>
    </row>
    <row r="14" spans="1:6" ht="23.25" customHeight="1">
      <c r="A14" s="22" t="s">
        <v>1220</v>
      </c>
      <c r="B14" s="39" t="s">
        <v>1256</v>
      </c>
      <c r="C14" s="22" t="s">
        <v>1277</v>
      </c>
    </row>
    <row r="15" spans="1:6" ht="26.25" customHeight="1">
      <c r="A15" s="22" t="s">
        <v>1221</v>
      </c>
      <c r="B15" s="39" t="s">
        <v>1257</v>
      </c>
      <c r="C15" s="22" t="s">
        <v>1278</v>
      </c>
    </row>
    <row r="16" spans="1:6" ht="21" customHeight="1">
      <c r="A16" s="22" t="s">
        <v>1222</v>
      </c>
      <c r="B16" s="39" t="s">
        <v>1258</v>
      </c>
      <c r="C16" s="22" t="s">
        <v>1279</v>
      </c>
    </row>
    <row r="17" spans="1:3" ht="22.5" customHeight="1">
      <c r="A17" s="22" t="s">
        <v>1223</v>
      </c>
      <c r="B17" s="39" t="s">
        <v>1259</v>
      </c>
      <c r="C17" s="22" t="s">
        <v>1280</v>
      </c>
    </row>
    <row r="18" spans="1:3" ht="13.5" customHeight="1">
      <c r="A18" s="22" t="s">
        <v>1224</v>
      </c>
      <c r="B18" s="39" t="s">
        <v>1260</v>
      </c>
      <c r="C18" s="22" t="s">
        <v>1281</v>
      </c>
    </row>
    <row r="19" spans="1:3" ht="13.5" customHeight="1">
      <c r="A19" s="22" t="s">
        <v>1225</v>
      </c>
      <c r="B19" s="39" t="s">
        <v>1261</v>
      </c>
      <c r="C19" s="22" t="s">
        <v>1282</v>
      </c>
    </row>
    <row r="20" spans="1:3" ht="20.25" customHeight="1">
      <c r="A20" s="22" t="s">
        <v>1226</v>
      </c>
      <c r="B20" s="24" t="s">
        <v>1262</v>
      </c>
      <c r="C20" s="22" t="s">
        <v>1283</v>
      </c>
    </row>
    <row r="21" spans="1:3" ht="20.25" customHeight="1">
      <c r="A21" s="22" t="s">
        <v>1227</v>
      </c>
      <c r="B21" s="24" t="s">
        <v>1263</v>
      </c>
      <c r="C21" s="22" t="s">
        <v>1284</v>
      </c>
    </row>
    <row r="22" spans="1:3" ht="30.95" customHeight="1">
      <c r="A22" s="22" t="s">
        <v>1228</v>
      </c>
      <c r="B22" s="24" t="s">
        <v>1264</v>
      </c>
      <c r="C22" s="22" t="s">
        <v>1285</v>
      </c>
    </row>
    <row r="23" spans="1:3" ht="26.25" customHeight="1">
      <c r="A23" s="22" t="s">
        <v>1229</v>
      </c>
      <c r="C23" s="22" t="s">
        <v>1286</v>
      </c>
    </row>
    <row r="24" spans="1:3" ht="13.5" customHeight="1">
      <c r="A24" s="22" t="s">
        <v>1230</v>
      </c>
      <c r="C24" s="22" t="s">
        <v>1287</v>
      </c>
    </row>
    <row r="25" spans="1:3" ht="13.5" customHeight="1">
      <c r="A25" s="22" t="s">
        <v>1231</v>
      </c>
      <c r="C25" s="22" t="s">
        <v>1288</v>
      </c>
    </row>
    <row r="26" spans="1:3" ht="27" customHeight="1">
      <c r="A26" s="22" t="s">
        <v>1232</v>
      </c>
    </row>
    <row r="27" spans="1:3" ht="27" customHeight="1">
      <c r="A27" s="22" t="s">
        <v>1233</v>
      </c>
    </row>
    <row r="28" spans="1:3" ht="13.5" customHeight="1">
      <c r="A28" s="22" t="s">
        <v>1234</v>
      </c>
    </row>
    <row r="29" spans="1:3" ht="22.5" customHeight="1">
      <c r="A29" s="22" t="s">
        <v>1236</v>
      </c>
      <c r="C29" s="24"/>
    </row>
    <row r="30" spans="1:3" ht="13.5" customHeight="1">
      <c r="A30" s="22" t="s">
        <v>1235</v>
      </c>
      <c r="B30" s="30"/>
      <c r="C30" s="24"/>
    </row>
    <row r="31" spans="1:3" ht="13.5" customHeight="1">
      <c r="A31" s="22" t="s">
        <v>1237</v>
      </c>
      <c r="B31" s="25"/>
      <c r="C31" s="24"/>
    </row>
    <row r="32" spans="1:3" ht="13.5" customHeight="1">
      <c r="A32" s="22" t="s">
        <v>1238</v>
      </c>
      <c r="B32" s="26"/>
      <c r="C32" s="24"/>
    </row>
    <row r="33" spans="1:3" ht="13.5" customHeight="1">
      <c r="A33" s="22" t="s">
        <v>1239</v>
      </c>
      <c r="B33" s="27"/>
      <c r="C33" s="24"/>
    </row>
    <row r="34" spans="1:3" ht="13.5" customHeight="1">
      <c r="A34" s="22" t="s">
        <v>1240</v>
      </c>
      <c r="B34" s="27"/>
      <c r="C34" s="24"/>
    </row>
    <row r="35" spans="1:3" ht="13.5" customHeight="1">
      <c r="A35" s="22" t="s">
        <v>1241</v>
      </c>
      <c r="B35" s="27"/>
      <c r="C35" s="24"/>
    </row>
    <row r="36" spans="1:3" ht="13.5" customHeight="1">
      <c r="A36" s="22" t="s">
        <v>1242</v>
      </c>
      <c r="B36" s="27"/>
      <c r="C36" s="24"/>
    </row>
    <row r="37" spans="1:3" ht="13.5" customHeight="1">
      <c r="A37" s="22" t="s">
        <v>1243</v>
      </c>
      <c r="B37" s="26"/>
      <c r="C37" s="24"/>
    </row>
    <row r="38" spans="1:3">
      <c r="B38" s="26"/>
      <c r="C38" s="24"/>
    </row>
    <row r="39" spans="1:3">
      <c r="B39" s="27"/>
      <c r="C39" s="24"/>
    </row>
    <row r="40" spans="1:3">
      <c r="B40" s="27"/>
      <c r="C40" s="22"/>
    </row>
    <row r="41" spans="1:3" ht="23.25" customHeight="1">
      <c r="B41" s="27"/>
    </row>
    <row r="42" spans="1:3" ht="23.25" customHeight="1">
      <c r="B42" s="26"/>
    </row>
    <row r="43" spans="1:3" ht="23.25" customHeight="1">
      <c r="B43" s="26"/>
    </row>
    <row r="44" spans="1:3" ht="23.25" customHeight="1">
      <c r="B44" s="26"/>
    </row>
    <row r="45" spans="1:3" ht="23.25" customHeight="1">
      <c r="B45" s="25"/>
    </row>
    <row r="46" spans="1:3" ht="23.25" customHeight="1">
      <c r="B46" s="26"/>
    </row>
    <row r="47" spans="1:3" ht="23.25" customHeight="1">
      <c r="B47" s="26"/>
    </row>
    <row r="48" spans="1:3" ht="23.25" customHeight="1">
      <c r="B48" s="26"/>
    </row>
    <row r="49" spans="2:3" ht="23.25" customHeight="1">
      <c r="B49" s="26"/>
    </row>
    <row r="50" spans="2:3" ht="23.25" customHeight="1">
      <c r="B50" s="26"/>
    </row>
    <row r="51" spans="2:3">
      <c r="B51" s="26"/>
    </row>
    <row r="52" spans="2:3">
      <c r="B52" s="26"/>
    </row>
    <row r="53" spans="2:3">
      <c r="B53" s="26"/>
    </row>
    <row r="54" spans="2:3">
      <c r="B54" s="25"/>
    </row>
    <row r="55" spans="2:3">
      <c r="B55" s="28"/>
    </row>
    <row r="56" spans="2:3">
      <c r="B56" s="28"/>
      <c r="C56" s="25"/>
    </row>
    <row r="57" spans="2:3">
      <c r="B57" s="28"/>
      <c r="C57" s="26"/>
    </row>
    <row r="58" spans="2:3">
      <c r="B58" s="26"/>
      <c r="C58" s="26"/>
    </row>
    <row r="59" spans="2:3">
      <c r="B59" s="28"/>
      <c r="C59" s="26"/>
    </row>
    <row r="60" spans="2:3">
      <c r="B60" s="25"/>
      <c r="C60" s="26"/>
    </row>
    <row r="61" spans="2:3">
      <c r="B61" s="26"/>
      <c r="C61" s="25"/>
    </row>
    <row r="62" spans="2:3">
      <c r="B62" s="26"/>
      <c r="C62" s="26"/>
    </row>
    <row r="63" spans="2:3">
      <c r="B63" s="26"/>
      <c r="C63" s="26"/>
    </row>
    <row r="64" spans="2:3">
      <c r="B64" s="26"/>
      <c r="C64" s="26"/>
    </row>
    <row r="65" spans="2:3">
      <c r="B65" s="26"/>
      <c r="C65" s="26"/>
    </row>
    <row r="66" spans="2:3">
      <c r="B66" s="26"/>
      <c r="C66" s="26"/>
    </row>
    <row r="67" spans="2:3">
      <c r="B67" s="26"/>
      <c r="C67" s="26"/>
    </row>
    <row r="68" spans="2:3">
      <c r="B68" s="26"/>
      <c r="C68" s="26"/>
    </row>
    <row r="69" spans="2:3">
      <c r="B69" s="26"/>
    </row>
    <row r="70" spans="2:3">
      <c r="B70" s="25"/>
    </row>
    <row r="71" spans="2:3">
      <c r="B71" s="26"/>
    </row>
    <row r="72" spans="2:3">
      <c r="B72" s="26"/>
    </row>
    <row r="73" spans="2:3">
      <c r="B73" s="26"/>
    </row>
    <row r="74" spans="2:3">
      <c r="B74" s="26"/>
    </row>
    <row r="75" spans="2:3">
      <c r="B75" s="26"/>
    </row>
    <row r="76" spans="2:3">
      <c r="B76" s="26"/>
    </row>
    <row r="77" spans="2:3">
      <c r="B77" s="26"/>
    </row>
    <row r="78" spans="2:3">
      <c r="B78" s="26"/>
    </row>
    <row r="79" spans="2:3">
      <c r="B79" s="26"/>
    </row>
    <row r="80" spans="2:3">
      <c r="B80" s="29"/>
    </row>
    <row r="81" spans="2:2">
      <c r="B81" s="29"/>
    </row>
    <row r="82" spans="2:2">
      <c r="B82" s="25"/>
    </row>
    <row r="83" spans="2:2">
      <c r="B83" s="26"/>
    </row>
    <row r="84" spans="2:2">
      <c r="B84" s="26"/>
    </row>
    <row r="85" spans="2:2">
      <c r="B85" s="26"/>
    </row>
    <row r="86" spans="2:2">
      <c r="B86" s="26"/>
    </row>
    <row r="87" spans="2:2">
      <c r="B87" s="25"/>
    </row>
    <row r="88" spans="2:2">
      <c r="B88" s="26"/>
    </row>
    <row r="89" spans="2:2">
      <c r="B89" s="26"/>
    </row>
    <row r="90" spans="2:2">
      <c r="B90" s="26"/>
    </row>
    <row r="91" spans="2:2">
      <c r="B91" s="26"/>
    </row>
    <row r="92" spans="2:2">
      <c r="B92" s="26"/>
    </row>
    <row r="93" spans="2:2">
      <c r="B93" s="26"/>
    </row>
    <row r="94" spans="2:2">
      <c r="B94" s="2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41"/>
  <sheetViews>
    <sheetView topLeftCell="I1" zoomScale="85" zoomScaleNormal="85" workbookViewId="0">
      <selection activeCell="L18" sqref="L18:X19"/>
    </sheetView>
  </sheetViews>
  <sheetFormatPr baseColWidth="10" defaultRowHeight="14.25"/>
  <cols>
    <col min="1" max="1" width="41.625" customWidth="1"/>
    <col min="2" max="2" width="43.5" customWidth="1"/>
    <col min="3" max="3" width="35.125" customWidth="1"/>
    <col min="4" max="4" width="34.5" customWidth="1"/>
    <col min="5" max="7" width="45.5" customWidth="1"/>
    <col min="8" max="8" width="31.5" customWidth="1"/>
    <col min="9" max="9" width="29.125" customWidth="1"/>
    <col min="10" max="15" width="36.5" customWidth="1"/>
    <col min="16" max="19" width="31.5" customWidth="1"/>
  </cols>
  <sheetData>
    <row r="1" spans="1:19" s="32" customFormat="1" ht="56.25" customHeight="1">
      <c r="A1" s="31" t="s">
        <v>1851</v>
      </c>
      <c r="B1" s="31" t="s">
        <v>1852</v>
      </c>
      <c r="C1" s="41" t="s">
        <v>1853</v>
      </c>
      <c r="D1" s="41" t="s">
        <v>1854</v>
      </c>
      <c r="E1" s="41" t="s">
        <v>1855</v>
      </c>
      <c r="F1" s="41" t="s">
        <v>1590</v>
      </c>
      <c r="G1" s="41" t="s">
        <v>1856</v>
      </c>
      <c r="H1" s="41" t="s">
        <v>1857</v>
      </c>
      <c r="I1" s="41" t="s">
        <v>1858</v>
      </c>
      <c r="J1" s="41" t="s">
        <v>1859</v>
      </c>
      <c r="K1" s="41" t="s">
        <v>1860</v>
      </c>
      <c r="L1" s="41" t="s">
        <v>1861</v>
      </c>
      <c r="M1" s="41" t="s">
        <v>1888</v>
      </c>
      <c r="N1" s="41" t="s">
        <v>1887</v>
      </c>
      <c r="O1" s="41" t="s">
        <v>1886</v>
      </c>
      <c r="P1" s="41" t="s">
        <v>1786</v>
      </c>
      <c r="Q1" s="41" t="s">
        <v>1883</v>
      </c>
      <c r="R1" s="41" t="s">
        <v>1885</v>
      </c>
      <c r="S1" s="41" t="s">
        <v>1884</v>
      </c>
    </row>
    <row r="2" spans="1:19" ht="21.95" customHeight="1">
      <c r="A2" s="22" t="s">
        <v>1208</v>
      </c>
      <c r="B2" s="22" t="s">
        <v>1473</v>
      </c>
      <c r="C2" s="39" t="s">
        <v>1244</v>
      </c>
      <c r="D2" s="106" t="s">
        <v>1583</v>
      </c>
      <c r="E2" s="106" t="s">
        <v>1299</v>
      </c>
      <c r="F2" s="106" t="s">
        <v>1591</v>
      </c>
      <c r="G2" s="22" t="s">
        <v>1603</v>
      </c>
      <c r="H2" s="106" t="s">
        <v>1654</v>
      </c>
      <c r="I2" s="106" t="s">
        <v>1676</v>
      </c>
      <c r="J2" s="106" t="s">
        <v>1683</v>
      </c>
      <c r="K2" s="106" t="s">
        <v>1706</v>
      </c>
      <c r="L2" s="106" t="s">
        <v>1790</v>
      </c>
      <c r="M2" s="106" t="s">
        <v>1738</v>
      </c>
      <c r="N2" s="106" t="s">
        <v>1752</v>
      </c>
      <c r="O2" s="106" t="s">
        <v>1776</v>
      </c>
      <c r="P2" s="106" t="s">
        <v>1787</v>
      </c>
      <c r="Q2" s="106" t="s">
        <v>1804</v>
      </c>
      <c r="R2" s="106" t="s">
        <v>1816</v>
      </c>
      <c r="S2" s="106" t="s">
        <v>1833</v>
      </c>
    </row>
    <row r="3" spans="1:19" ht="23.25" customHeight="1">
      <c r="A3" s="22" t="s">
        <v>1209</v>
      </c>
      <c r="B3" s="22" t="s">
        <v>1474</v>
      </c>
      <c r="C3" s="39" t="s">
        <v>1245</v>
      </c>
      <c r="D3" s="106" t="s">
        <v>1584</v>
      </c>
      <c r="E3" s="106" t="s">
        <v>1300</v>
      </c>
      <c r="F3" s="106" t="s">
        <v>1592</v>
      </c>
      <c r="G3" s="22" t="s">
        <v>1604</v>
      </c>
      <c r="H3" s="106" t="s">
        <v>1655</v>
      </c>
      <c r="I3" s="106" t="s">
        <v>1677</v>
      </c>
      <c r="J3" s="106" t="s">
        <v>1684</v>
      </c>
      <c r="K3" s="106" t="s">
        <v>1707</v>
      </c>
      <c r="L3" s="106" t="s">
        <v>1737</v>
      </c>
      <c r="M3" s="106" t="s">
        <v>1739</v>
      </c>
      <c r="N3" s="106" t="s">
        <v>1753</v>
      </c>
      <c r="O3" s="106" t="s">
        <v>1777</v>
      </c>
      <c r="P3" s="106" t="s">
        <v>1788</v>
      </c>
      <c r="Q3" s="106" t="s">
        <v>1805</v>
      </c>
      <c r="R3" s="106" t="s">
        <v>1817</v>
      </c>
      <c r="S3" s="106" t="s">
        <v>1834</v>
      </c>
    </row>
    <row r="4" spans="1:19" ht="57.95" customHeight="1">
      <c r="A4" s="22" t="s">
        <v>1210</v>
      </c>
      <c r="B4" s="22" t="s">
        <v>1475</v>
      </c>
      <c r="C4" s="39" t="s">
        <v>1246</v>
      </c>
      <c r="D4" s="106" t="s">
        <v>1585</v>
      </c>
      <c r="E4" s="106" t="s">
        <v>1301</v>
      </c>
      <c r="F4" s="106" t="s">
        <v>1593</v>
      </c>
      <c r="G4" s="22" t="s">
        <v>1605</v>
      </c>
      <c r="H4" s="106" t="s">
        <v>1656</v>
      </c>
      <c r="I4" s="106" t="s">
        <v>1678</v>
      </c>
      <c r="J4" s="106" t="s">
        <v>1685</v>
      </c>
      <c r="K4" s="106" t="s">
        <v>1708</v>
      </c>
      <c r="L4" s="107"/>
      <c r="M4" s="106" t="s">
        <v>1740</v>
      </c>
      <c r="N4" s="106" t="s">
        <v>1754</v>
      </c>
      <c r="O4" s="106" t="s">
        <v>1778</v>
      </c>
      <c r="P4" s="106" t="s">
        <v>1789</v>
      </c>
      <c r="Q4" s="106" t="s">
        <v>1806</v>
      </c>
      <c r="R4" s="106" t="s">
        <v>1818</v>
      </c>
      <c r="S4" s="106" t="s">
        <v>1835</v>
      </c>
    </row>
    <row r="5" spans="1:19" ht="31.5" customHeight="1">
      <c r="A5" s="22" t="s">
        <v>1211</v>
      </c>
      <c r="B5" s="22" t="s">
        <v>1476</v>
      </c>
      <c r="C5" s="39" t="s">
        <v>1247</v>
      </c>
      <c r="D5" s="106" t="s">
        <v>1586</v>
      </c>
      <c r="E5" s="106" t="s">
        <v>1302</v>
      </c>
      <c r="F5" s="106" t="s">
        <v>1594</v>
      </c>
      <c r="G5" s="22" t="s">
        <v>1606</v>
      </c>
      <c r="H5" s="106" t="s">
        <v>1657</v>
      </c>
      <c r="I5" s="40" t="s">
        <v>1289</v>
      </c>
      <c r="J5" s="106" t="s">
        <v>1686</v>
      </c>
      <c r="K5" s="106" t="s">
        <v>1709</v>
      </c>
      <c r="L5" s="107"/>
      <c r="M5" s="106" t="s">
        <v>1741</v>
      </c>
      <c r="N5" s="106" t="s">
        <v>1755</v>
      </c>
      <c r="O5" s="106" t="s">
        <v>1779</v>
      </c>
      <c r="P5" s="106" t="s">
        <v>1791</v>
      </c>
      <c r="Q5" s="106" t="s">
        <v>1807</v>
      </c>
      <c r="R5" s="106" t="s">
        <v>1819</v>
      </c>
      <c r="S5" s="106" t="s">
        <v>1836</v>
      </c>
    </row>
    <row r="6" spans="1:19" ht="24" customHeight="1">
      <c r="A6" s="22" t="s">
        <v>1212</v>
      </c>
      <c r="B6" s="22" t="s">
        <v>1477</v>
      </c>
      <c r="C6" s="39" t="s">
        <v>1248</v>
      </c>
      <c r="D6" s="106" t="s">
        <v>1587</v>
      </c>
      <c r="E6" s="106" t="s">
        <v>1303</v>
      </c>
      <c r="F6" s="106" t="s">
        <v>1595</v>
      </c>
      <c r="G6" s="22" t="s">
        <v>1607</v>
      </c>
      <c r="H6" s="106" t="s">
        <v>1658</v>
      </c>
      <c r="I6" s="40" t="s">
        <v>1290</v>
      </c>
      <c r="J6" s="106" t="s">
        <v>1687</v>
      </c>
      <c r="K6" s="106" t="s">
        <v>1710</v>
      </c>
      <c r="L6" s="107"/>
      <c r="M6" s="106" t="s">
        <v>1742</v>
      </c>
      <c r="N6" s="106" t="s">
        <v>1756</v>
      </c>
      <c r="O6" s="106" t="s">
        <v>1780</v>
      </c>
      <c r="P6" s="106" t="s">
        <v>1792</v>
      </c>
      <c r="Q6" s="106" t="s">
        <v>1808</v>
      </c>
      <c r="R6" s="106" t="s">
        <v>1820</v>
      </c>
      <c r="S6" s="106" t="s">
        <v>1837</v>
      </c>
    </row>
    <row r="7" spans="1:19" ht="38.450000000000003" customHeight="1">
      <c r="A7" s="22" t="s">
        <v>1213</v>
      </c>
      <c r="B7" s="22" t="s">
        <v>1478</v>
      </c>
      <c r="C7" s="39" t="s">
        <v>1249</v>
      </c>
      <c r="D7" s="106" t="s">
        <v>1588</v>
      </c>
      <c r="E7" s="106" t="s">
        <v>1589</v>
      </c>
      <c r="F7" s="106" t="s">
        <v>1596</v>
      </c>
      <c r="G7" s="22" t="s">
        <v>1608</v>
      </c>
      <c r="H7" s="106" t="s">
        <v>1659</v>
      </c>
      <c r="I7" s="40" t="s">
        <v>1291</v>
      </c>
      <c r="J7" s="106" t="s">
        <v>1688</v>
      </c>
      <c r="K7" s="106" t="s">
        <v>1711</v>
      </c>
      <c r="L7" s="107"/>
      <c r="M7" s="106" t="s">
        <v>1743</v>
      </c>
      <c r="N7" s="106" t="s">
        <v>1757</v>
      </c>
      <c r="O7" s="106" t="s">
        <v>1781</v>
      </c>
      <c r="P7" s="106" t="s">
        <v>1793</v>
      </c>
      <c r="Q7" s="106" t="s">
        <v>1809</v>
      </c>
      <c r="R7" s="106" t="s">
        <v>1821</v>
      </c>
      <c r="S7" s="106" t="s">
        <v>1838</v>
      </c>
    </row>
    <row r="8" spans="1:19" ht="41.25" customHeight="1">
      <c r="A8" s="22" t="s">
        <v>1214</v>
      </c>
      <c r="B8" s="22" t="s">
        <v>1479</v>
      </c>
      <c r="C8" s="39" t="s">
        <v>1250</v>
      </c>
      <c r="D8" s="39"/>
      <c r="E8" s="106" t="s">
        <v>1304</v>
      </c>
      <c r="F8" s="106" t="s">
        <v>1597</v>
      </c>
      <c r="G8" s="22" t="s">
        <v>1306</v>
      </c>
      <c r="H8" s="106" t="s">
        <v>1660</v>
      </c>
      <c r="I8" s="106" t="s">
        <v>1679</v>
      </c>
      <c r="J8" s="106" t="s">
        <v>1689</v>
      </c>
      <c r="K8" s="106" t="s">
        <v>1712</v>
      </c>
      <c r="L8" s="107"/>
      <c r="M8" s="106" t="s">
        <v>1744</v>
      </c>
      <c r="N8" s="106" t="s">
        <v>1758</v>
      </c>
      <c r="O8" s="106" t="s">
        <v>1782</v>
      </c>
      <c r="P8" s="106" t="s">
        <v>1794</v>
      </c>
      <c r="Q8" s="106" t="s">
        <v>1810</v>
      </c>
      <c r="R8" s="106" t="s">
        <v>1822</v>
      </c>
      <c r="S8" s="106" t="s">
        <v>1839</v>
      </c>
    </row>
    <row r="9" spans="1:19" ht="41.25" customHeight="1">
      <c r="A9" s="22" t="s">
        <v>1215</v>
      </c>
      <c r="B9" s="22" t="s">
        <v>1480</v>
      </c>
      <c r="C9" s="39" t="s">
        <v>1251</v>
      </c>
      <c r="D9" s="39"/>
      <c r="E9" s="106" t="s">
        <v>1305</v>
      </c>
      <c r="F9" s="106" t="s">
        <v>1598</v>
      </c>
      <c r="G9" s="22" t="s">
        <v>1307</v>
      </c>
      <c r="H9" s="106" t="s">
        <v>1661</v>
      </c>
      <c r="I9" s="40" t="s">
        <v>1292</v>
      </c>
      <c r="J9" s="106" t="s">
        <v>1690</v>
      </c>
      <c r="K9" s="106" t="s">
        <v>1713</v>
      </c>
      <c r="L9" s="107"/>
      <c r="M9" s="106" t="s">
        <v>1745</v>
      </c>
      <c r="N9" s="106" t="s">
        <v>1759</v>
      </c>
      <c r="O9" s="106" t="s">
        <v>1783</v>
      </c>
      <c r="P9" s="106" t="s">
        <v>1795</v>
      </c>
      <c r="Q9" s="106" t="s">
        <v>1811</v>
      </c>
      <c r="R9" s="106" t="s">
        <v>1823</v>
      </c>
      <c r="S9" s="106" t="s">
        <v>1840</v>
      </c>
    </row>
    <row r="10" spans="1:19" ht="21" customHeight="1">
      <c r="A10" s="22" t="s">
        <v>1216</v>
      </c>
      <c r="B10" s="22" t="s">
        <v>1481</v>
      </c>
      <c r="C10" s="39" t="s">
        <v>1252</v>
      </c>
      <c r="D10" s="39"/>
      <c r="E10" s="39"/>
      <c r="F10" s="106" t="s">
        <v>1599</v>
      </c>
      <c r="G10" s="22" t="s">
        <v>1609</v>
      </c>
      <c r="H10" s="106" t="s">
        <v>1662</v>
      </c>
      <c r="I10" s="40" t="s">
        <v>1293</v>
      </c>
      <c r="J10" s="106" t="s">
        <v>1691</v>
      </c>
      <c r="K10" s="106" t="s">
        <v>1714</v>
      </c>
      <c r="L10" s="107"/>
      <c r="M10" s="106" t="s">
        <v>1746</v>
      </c>
      <c r="N10" s="106" t="s">
        <v>1760</v>
      </c>
      <c r="O10" s="106" t="s">
        <v>1784</v>
      </c>
      <c r="P10" s="106" t="s">
        <v>1796</v>
      </c>
      <c r="Q10" s="106" t="s">
        <v>1812</v>
      </c>
      <c r="R10" s="106" t="s">
        <v>1824</v>
      </c>
      <c r="S10" s="106" t="s">
        <v>1841</v>
      </c>
    </row>
    <row r="11" spans="1:19" ht="30.95" customHeight="1">
      <c r="A11" s="22" t="s">
        <v>1217</v>
      </c>
      <c r="B11" s="22" t="s">
        <v>1482</v>
      </c>
      <c r="C11" s="39" t="s">
        <v>1253</v>
      </c>
      <c r="D11" s="39"/>
      <c r="E11" s="39"/>
      <c r="F11" s="106" t="s">
        <v>1600</v>
      </c>
      <c r="G11" s="22" t="s">
        <v>1610</v>
      </c>
      <c r="H11" s="106" t="s">
        <v>1663</v>
      </c>
      <c r="I11" s="40" t="s">
        <v>1294</v>
      </c>
      <c r="J11" s="106" t="s">
        <v>1692</v>
      </c>
      <c r="K11" s="106" t="s">
        <v>1715</v>
      </c>
      <c r="L11" s="107"/>
      <c r="M11" s="106" t="s">
        <v>1747</v>
      </c>
      <c r="N11" s="106" t="s">
        <v>1761</v>
      </c>
      <c r="O11" s="106" t="s">
        <v>1785</v>
      </c>
      <c r="P11" s="106" t="s">
        <v>1797</v>
      </c>
      <c r="Q11" s="106" t="s">
        <v>1813</v>
      </c>
      <c r="R11" s="106" t="s">
        <v>1825</v>
      </c>
      <c r="S11" s="106" t="s">
        <v>1842</v>
      </c>
    </row>
    <row r="12" spans="1:19" ht="28.5" customHeight="1">
      <c r="A12" s="22" t="s">
        <v>1218</v>
      </c>
      <c r="B12" s="22" t="s">
        <v>1483</v>
      </c>
      <c r="C12" s="39" t="s">
        <v>1254</v>
      </c>
      <c r="D12" s="39"/>
      <c r="E12" s="39"/>
      <c r="F12" s="106" t="s">
        <v>1601</v>
      </c>
      <c r="G12" s="22" t="s">
        <v>1611</v>
      </c>
      <c r="H12" s="106" t="s">
        <v>1664</v>
      </c>
      <c r="I12" s="106" t="s">
        <v>1680</v>
      </c>
      <c r="J12" s="106" t="s">
        <v>1693</v>
      </c>
      <c r="K12" s="106" t="s">
        <v>1716</v>
      </c>
      <c r="L12" s="107"/>
      <c r="M12" s="106" t="s">
        <v>1748</v>
      </c>
      <c r="N12" s="106" t="s">
        <v>1297</v>
      </c>
      <c r="P12" s="106" t="s">
        <v>1798</v>
      </c>
      <c r="Q12" s="106" t="s">
        <v>1814</v>
      </c>
      <c r="R12" s="106" t="s">
        <v>1826</v>
      </c>
      <c r="S12" s="106" t="s">
        <v>1843</v>
      </c>
    </row>
    <row r="13" spans="1:19" ht="27" customHeight="1">
      <c r="A13" s="22" t="s">
        <v>1219</v>
      </c>
      <c r="B13" s="22" t="s">
        <v>1484</v>
      </c>
      <c r="C13" s="39" t="s">
        <v>1255</v>
      </c>
      <c r="D13" s="39"/>
      <c r="E13" s="39"/>
      <c r="F13" s="106" t="s">
        <v>1602</v>
      </c>
      <c r="G13" s="22" t="s">
        <v>1612</v>
      </c>
      <c r="H13" s="106" t="s">
        <v>1665</v>
      </c>
      <c r="I13" s="40" t="s">
        <v>1295</v>
      </c>
      <c r="J13" s="106" t="s">
        <v>1694</v>
      </c>
      <c r="K13" s="106" t="s">
        <v>1717</v>
      </c>
      <c r="L13" s="107"/>
      <c r="M13" s="106" t="s">
        <v>1749</v>
      </c>
      <c r="N13" s="106" t="s">
        <v>1298</v>
      </c>
      <c r="O13" s="107"/>
      <c r="P13" s="106" t="s">
        <v>1799</v>
      </c>
      <c r="Q13" s="106" t="s">
        <v>1815</v>
      </c>
      <c r="R13" s="106" t="s">
        <v>1827</v>
      </c>
      <c r="S13" s="106" t="s">
        <v>1844</v>
      </c>
    </row>
    <row r="14" spans="1:19" ht="23.25" customHeight="1">
      <c r="A14" s="22" t="s">
        <v>1220</v>
      </c>
      <c r="B14" s="22" t="s">
        <v>1485</v>
      </c>
      <c r="C14" s="39" t="s">
        <v>1256</v>
      </c>
      <c r="D14" s="39"/>
      <c r="E14" s="39"/>
      <c r="F14" s="39"/>
      <c r="G14" s="22" t="s">
        <v>1613</v>
      </c>
      <c r="H14" s="106" t="s">
        <v>1666</v>
      </c>
      <c r="I14" s="106" t="s">
        <v>1681</v>
      </c>
      <c r="J14" s="106" t="s">
        <v>1695</v>
      </c>
      <c r="K14" s="106" t="s">
        <v>1718</v>
      </c>
      <c r="L14" s="107"/>
      <c r="M14" s="106" t="s">
        <v>1750</v>
      </c>
      <c r="N14" s="106" t="s">
        <v>1762</v>
      </c>
      <c r="O14" s="107"/>
      <c r="P14" s="106" t="s">
        <v>1800</v>
      </c>
      <c r="Q14" s="107"/>
      <c r="R14" s="106" t="s">
        <v>1828</v>
      </c>
      <c r="S14" s="106" t="s">
        <v>1845</v>
      </c>
    </row>
    <row r="15" spans="1:19" ht="26.25" customHeight="1">
      <c r="A15" s="22" t="s">
        <v>1221</v>
      </c>
      <c r="B15" s="22" t="s">
        <v>1486</v>
      </c>
      <c r="C15" s="39" t="s">
        <v>1257</v>
      </c>
      <c r="D15" s="39"/>
      <c r="E15" s="39"/>
      <c r="F15" s="39"/>
      <c r="G15" s="22" t="s">
        <v>1614</v>
      </c>
      <c r="H15" s="106" t="s">
        <v>1667</v>
      </c>
      <c r="I15" s="40" t="s">
        <v>1296</v>
      </c>
      <c r="J15" s="106" t="s">
        <v>1696</v>
      </c>
      <c r="K15" s="106" t="s">
        <v>1719</v>
      </c>
      <c r="L15" s="107"/>
      <c r="M15" s="106" t="s">
        <v>1751</v>
      </c>
      <c r="N15" s="106" t="s">
        <v>1763</v>
      </c>
      <c r="O15" s="107"/>
      <c r="P15" s="106" t="s">
        <v>1801</v>
      </c>
      <c r="Q15" s="107"/>
      <c r="R15" s="106" t="s">
        <v>1829</v>
      </c>
      <c r="S15" s="106" t="s">
        <v>1846</v>
      </c>
    </row>
    <row r="16" spans="1:19" ht="27.75" customHeight="1">
      <c r="A16" s="22" t="s">
        <v>1222</v>
      </c>
      <c r="B16" s="22" t="s">
        <v>1487</v>
      </c>
      <c r="C16" s="39" t="s">
        <v>1258</v>
      </c>
      <c r="D16" s="39"/>
      <c r="E16" s="39"/>
      <c r="F16" s="39"/>
      <c r="G16" s="22" t="s">
        <v>1615</v>
      </c>
      <c r="H16" s="106" t="s">
        <v>1668</v>
      </c>
      <c r="I16" s="106" t="s">
        <v>1682</v>
      </c>
      <c r="J16" s="106" t="s">
        <v>1697</v>
      </c>
      <c r="K16" s="106" t="s">
        <v>1720</v>
      </c>
      <c r="L16" s="107"/>
      <c r="M16" s="107"/>
      <c r="N16" s="106" t="s">
        <v>1764</v>
      </c>
      <c r="O16" s="107"/>
      <c r="P16" s="106" t="s">
        <v>1802</v>
      </c>
      <c r="Q16" s="107"/>
      <c r="R16" s="106" t="s">
        <v>1830</v>
      </c>
      <c r="S16" s="106" t="s">
        <v>1847</v>
      </c>
    </row>
    <row r="17" spans="1:19" ht="22.5" customHeight="1">
      <c r="A17" s="22" t="s">
        <v>1223</v>
      </c>
      <c r="B17" s="106" t="s">
        <v>1488</v>
      </c>
      <c r="C17" s="39" t="s">
        <v>1259</v>
      </c>
      <c r="D17" s="39"/>
      <c r="E17" s="39"/>
      <c r="F17" s="39"/>
      <c r="G17" s="22" t="s">
        <v>1616</v>
      </c>
      <c r="H17" s="106" t="s">
        <v>1669</v>
      </c>
      <c r="I17" s="107"/>
      <c r="J17" s="106" t="s">
        <v>1698</v>
      </c>
      <c r="K17" s="106" t="s">
        <v>1721</v>
      </c>
      <c r="L17" s="107"/>
      <c r="M17" s="107"/>
      <c r="N17" s="106" t="s">
        <v>1765</v>
      </c>
      <c r="O17" s="107"/>
      <c r="P17" s="106" t="s">
        <v>1803</v>
      </c>
      <c r="Q17" s="107"/>
      <c r="R17" s="106" t="s">
        <v>1831</v>
      </c>
      <c r="S17" s="106" t="s">
        <v>1848</v>
      </c>
    </row>
    <row r="18" spans="1:19" ht="23.45" customHeight="1">
      <c r="A18" s="22" t="s">
        <v>1224</v>
      </c>
      <c r="B18" s="106" t="s">
        <v>1489</v>
      </c>
      <c r="C18" s="39" t="s">
        <v>1260</v>
      </c>
      <c r="D18" s="39"/>
      <c r="E18" s="39"/>
      <c r="F18" s="39"/>
      <c r="G18" s="22" t="s">
        <v>1617</v>
      </c>
      <c r="H18" s="106" t="s">
        <v>1670</v>
      </c>
      <c r="I18" s="107"/>
      <c r="J18" s="106" t="s">
        <v>1699</v>
      </c>
      <c r="K18" s="106" t="s">
        <v>1722</v>
      </c>
      <c r="L18" s="107"/>
      <c r="M18" s="107"/>
      <c r="N18" s="106" t="s">
        <v>1766</v>
      </c>
      <c r="O18" s="107"/>
      <c r="P18" s="107"/>
      <c r="Q18" s="107"/>
      <c r="R18" s="106" t="s">
        <v>1832</v>
      </c>
      <c r="S18" s="106" t="s">
        <v>1849</v>
      </c>
    </row>
    <row r="19" spans="1:19" ht="26.25" customHeight="1">
      <c r="A19" s="22" t="s">
        <v>1225</v>
      </c>
      <c r="C19" s="39" t="s">
        <v>1261</v>
      </c>
      <c r="D19" s="39"/>
      <c r="E19" s="39"/>
      <c r="F19" s="39"/>
      <c r="G19" s="22" t="s">
        <v>1618</v>
      </c>
      <c r="H19" s="106" t="s">
        <v>1671</v>
      </c>
      <c r="I19" s="107"/>
      <c r="J19" s="106" t="s">
        <v>1701</v>
      </c>
      <c r="K19" s="106" t="s">
        <v>1723</v>
      </c>
      <c r="L19" s="107"/>
      <c r="M19" s="107"/>
      <c r="N19" s="106" t="s">
        <v>1767</v>
      </c>
      <c r="O19" s="107"/>
      <c r="P19" s="107"/>
      <c r="Q19" s="107"/>
      <c r="R19" s="107"/>
      <c r="S19" s="107"/>
    </row>
    <row r="20" spans="1:19" ht="27.95" customHeight="1">
      <c r="A20" s="22" t="s">
        <v>1226</v>
      </c>
      <c r="C20" s="24" t="s">
        <v>1262</v>
      </c>
      <c r="D20" s="24"/>
      <c r="E20" s="24"/>
      <c r="F20" s="24"/>
      <c r="G20" s="22" t="s">
        <v>1619</v>
      </c>
      <c r="H20" s="106" t="s">
        <v>1672</v>
      </c>
      <c r="I20" s="107"/>
      <c r="J20" s="106" t="s">
        <v>1700</v>
      </c>
      <c r="K20" s="106" t="s">
        <v>1724</v>
      </c>
      <c r="L20" s="107"/>
      <c r="M20" s="107"/>
      <c r="N20" s="106" t="s">
        <v>1768</v>
      </c>
      <c r="O20" s="107"/>
      <c r="P20" s="107"/>
      <c r="Q20" s="107"/>
      <c r="R20" s="107"/>
      <c r="S20" s="107"/>
    </row>
    <row r="21" spans="1:19" ht="32.450000000000003" customHeight="1">
      <c r="A21" s="22" t="s">
        <v>1227</v>
      </c>
      <c r="C21" s="24" t="s">
        <v>1263</v>
      </c>
      <c r="D21" s="24"/>
      <c r="E21" s="24"/>
      <c r="F21" s="24"/>
      <c r="G21" s="22" t="s">
        <v>1620</v>
      </c>
      <c r="H21" s="106" t="s">
        <v>1673</v>
      </c>
      <c r="I21" s="107"/>
      <c r="J21" s="106" t="s">
        <v>1702</v>
      </c>
      <c r="K21" s="106" t="s">
        <v>1725</v>
      </c>
      <c r="L21" s="107"/>
      <c r="M21" s="107"/>
      <c r="N21" s="106" t="s">
        <v>1769</v>
      </c>
      <c r="O21" s="107"/>
      <c r="P21" s="107"/>
      <c r="Q21" s="107"/>
      <c r="R21" s="107"/>
      <c r="S21" s="107"/>
    </row>
    <row r="22" spans="1:19" ht="30.95" customHeight="1">
      <c r="A22" s="22" t="s">
        <v>1228</v>
      </c>
      <c r="C22" s="24" t="s">
        <v>1264</v>
      </c>
      <c r="D22" s="24"/>
      <c r="E22" s="24"/>
      <c r="F22" s="24"/>
      <c r="G22" s="22" t="s">
        <v>1621</v>
      </c>
      <c r="H22" s="106" t="s">
        <v>1674</v>
      </c>
      <c r="I22" s="107"/>
      <c r="J22" s="106" t="s">
        <v>1703</v>
      </c>
      <c r="K22" s="106" t="s">
        <v>1726</v>
      </c>
      <c r="L22" s="107"/>
      <c r="M22" s="107"/>
      <c r="N22" s="106" t="s">
        <v>1770</v>
      </c>
      <c r="O22" s="107"/>
      <c r="P22" s="107"/>
      <c r="Q22" s="107"/>
      <c r="R22" s="107"/>
      <c r="S22" s="107"/>
    </row>
    <row r="23" spans="1:19" ht="26.25" customHeight="1">
      <c r="A23" s="22" t="s">
        <v>1229</v>
      </c>
      <c r="C23" s="106" t="s">
        <v>1850</v>
      </c>
      <c r="G23" s="22" t="s">
        <v>1622</v>
      </c>
      <c r="H23" s="106" t="s">
        <v>1675</v>
      </c>
      <c r="I23" s="107"/>
      <c r="J23" s="106" t="s">
        <v>1704</v>
      </c>
      <c r="K23" s="106" t="s">
        <v>1727</v>
      </c>
      <c r="L23" s="107"/>
      <c r="M23" s="107"/>
      <c r="N23" s="106" t="s">
        <v>1771</v>
      </c>
      <c r="O23" s="107"/>
      <c r="P23" s="107"/>
      <c r="Q23" s="107"/>
      <c r="R23" s="107"/>
      <c r="S23" s="107"/>
    </row>
    <row r="24" spans="1:19" ht="24.95" customHeight="1">
      <c r="A24" s="22" t="s">
        <v>1230</v>
      </c>
      <c r="C24" s="23" t="s">
        <v>1265</v>
      </c>
      <c r="G24" s="22" t="s">
        <v>1623</v>
      </c>
      <c r="H24" s="22"/>
      <c r="I24" s="22"/>
      <c r="J24" s="106" t="s">
        <v>1705</v>
      </c>
      <c r="K24" s="106" t="s">
        <v>1728</v>
      </c>
      <c r="L24" s="107"/>
      <c r="M24" s="107"/>
      <c r="N24" s="106" t="s">
        <v>1772</v>
      </c>
      <c r="O24" s="107"/>
      <c r="P24" s="107"/>
      <c r="Q24" s="107"/>
      <c r="R24" s="107"/>
      <c r="S24" s="107"/>
    </row>
    <row r="25" spans="1:19" ht="30.75" customHeight="1">
      <c r="A25" s="22" t="s">
        <v>1231</v>
      </c>
      <c r="C25" s="23" t="s">
        <v>1266</v>
      </c>
      <c r="G25" s="22" t="s">
        <v>1624</v>
      </c>
      <c r="H25" s="22"/>
      <c r="I25" s="22"/>
      <c r="J25" s="22"/>
      <c r="K25" s="106" t="s">
        <v>1729</v>
      </c>
      <c r="L25" s="107"/>
      <c r="M25" s="107"/>
      <c r="N25" s="106" t="s">
        <v>1773</v>
      </c>
      <c r="O25" s="107"/>
      <c r="P25" s="107"/>
      <c r="Q25" s="107"/>
      <c r="R25" s="107"/>
      <c r="S25" s="107"/>
    </row>
    <row r="26" spans="1:19" ht="27" customHeight="1">
      <c r="A26" s="22" t="s">
        <v>1232</v>
      </c>
      <c r="C26" s="23" t="s">
        <v>1267</v>
      </c>
      <c r="G26" s="22" t="s">
        <v>1625</v>
      </c>
      <c r="H26" s="22"/>
      <c r="I26" s="22"/>
      <c r="J26" s="22"/>
      <c r="K26" s="106" t="s">
        <v>1730</v>
      </c>
      <c r="L26" s="107"/>
      <c r="M26" s="107"/>
      <c r="N26" s="106" t="s">
        <v>1774</v>
      </c>
      <c r="O26" s="107"/>
      <c r="P26" s="107"/>
      <c r="Q26" s="107"/>
      <c r="R26" s="107"/>
      <c r="S26" s="107"/>
    </row>
    <row r="27" spans="1:19" ht="27" customHeight="1">
      <c r="A27" s="22" t="s">
        <v>1233</v>
      </c>
      <c r="C27" s="22" t="s">
        <v>1268</v>
      </c>
      <c r="G27" s="22" t="s">
        <v>1626</v>
      </c>
      <c r="H27" s="22"/>
      <c r="I27" s="22"/>
      <c r="J27" s="22"/>
      <c r="K27" s="106" t="s">
        <v>1731</v>
      </c>
      <c r="L27" s="107"/>
      <c r="M27" s="107"/>
      <c r="N27" s="106" t="s">
        <v>1775</v>
      </c>
      <c r="O27" s="107"/>
      <c r="P27" s="107"/>
      <c r="Q27" s="107"/>
      <c r="R27" s="107"/>
      <c r="S27" s="107"/>
    </row>
    <row r="28" spans="1:19" ht="36" customHeight="1">
      <c r="A28" s="22" t="s">
        <v>1234</v>
      </c>
      <c r="C28" s="22" t="s">
        <v>1269</v>
      </c>
      <c r="G28" s="22" t="s">
        <v>1308</v>
      </c>
      <c r="H28" s="22"/>
      <c r="I28" s="22"/>
      <c r="J28" s="22"/>
      <c r="K28" s="106" t="s">
        <v>1732</v>
      </c>
      <c r="L28" s="107"/>
      <c r="M28" s="107"/>
      <c r="N28" s="107"/>
      <c r="O28" s="107"/>
      <c r="P28" s="107"/>
      <c r="Q28" s="107"/>
      <c r="R28" s="107"/>
      <c r="S28" s="107"/>
    </row>
    <row r="29" spans="1:19" ht="36" customHeight="1">
      <c r="A29" s="22" t="s">
        <v>1236</v>
      </c>
      <c r="C29" s="23" t="s">
        <v>1270</v>
      </c>
      <c r="G29" s="22" t="s">
        <v>1627</v>
      </c>
      <c r="H29" s="22"/>
      <c r="I29" s="22"/>
      <c r="J29" s="22"/>
      <c r="K29" s="106" t="s">
        <v>1733</v>
      </c>
      <c r="L29" s="107"/>
      <c r="M29" s="107"/>
      <c r="N29" s="107"/>
      <c r="O29" s="107"/>
      <c r="P29" s="107"/>
      <c r="Q29" s="107"/>
      <c r="R29" s="107"/>
      <c r="S29" s="107"/>
    </row>
    <row r="30" spans="1:19" ht="36" customHeight="1">
      <c r="A30" s="22" t="s">
        <v>1235</v>
      </c>
      <c r="C30" s="23" t="s">
        <v>1271</v>
      </c>
      <c r="D30" s="30"/>
      <c r="E30" s="30"/>
      <c r="F30" s="30"/>
      <c r="G30" s="22" t="s">
        <v>1309</v>
      </c>
      <c r="H30" s="22"/>
      <c r="I30" s="22"/>
      <c r="J30" s="22"/>
      <c r="K30" s="106" t="s">
        <v>1734</v>
      </c>
      <c r="L30" s="107"/>
      <c r="M30" s="107"/>
      <c r="N30" s="107"/>
      <c r="O30" s="107"/>
      <c r="P30" s="107"/>
      <c r="Q30" s="107"/>
      <c r="R30" s="107"/>
      <c r="S30" s="107"/>
    </row>
    <row r="31" spans="1:19" ht="33.75" customHeight="1">
      <c r="A31" s="22" t="s">
        <v>1237</v>
      </c>
      <c r="B31" s="105"/>
      <c r="C31" s="23" t="s">
        <v>1272</v>
      </c>
      <c r="D31" s="25"/>
      <c r="E31" s="25"/>
      <c r="F31" s="25"/>
      <c r="G31" s="22" t="s">
        <v>1310</v>
      </c>
      <c r="H31" s="22"/>
      <c r="I31" s="22"/>
      <c r="J31" s="22"/>
      <c r="K31" s="106" t="s">
        <v>1735</v>
      </c>
      <c r="L31" s="107"/>
      <c r="M31" s="107"/>
      <c r="N31" s="107"/>
      <c r="O31" s="107"/>
      <c r="P31" s="107"/>
      <c r="Q31" s="107"/>
      <c r="R31" s="107"/>
      <c r="S31" s="107"/>
    </row>
    <row r="32" spans="1:19" ht="33.75" customHeight="1">
      <c r="A32" s="22" t="s">
        <v>1238</v>
      </c>
      <c r="B32" s="105"/>
      <c r="C32" s="22" t="s">
        <v>1273</v>
      </c>
      <c r="D32" s="26"/>
      <c r="E32" s="26"/>
      <c r="F32" s="26"/>
      <c r="G32" s="22" t="s">
        <v>1311</v>
      </c>
      <c r="H32" s="22"/>
      <c r="I32" s="22"/>
      <c r="J32" s="22"/>
      <c r="K32" s="106" t="s">
        <v>1736</v>
      </c>
      <c r="L32" s="107"/>
      <c r="M32" s="107"/>
      <c r="N32" s="107"/>
      <c r="O32" s="107"/>
      <c r="P32" s="107"/>
      <c r="Q32" s="107"/>
      <c r="R32" s="107"/>
      <c r="S32" s="107"/>
    </row>
    <row r="33" spans="1:19" ht="33.75" customHeight="1">
      <c r="A33" s="22" t="s">
        <v>1239</v>
      </c>
      <c r="B33" s="105"/>
      <c r="C33" s="22" t="s">
        <v>1274</v>
      </c>
      <c r="D33" s="27"/>
      <c r="E33" s="27"/>
      <c r="F33" s="27"/>
      <c r="G33" s="22" t="s">
        <v>1628</v>
      </c>
      <c r="H33" s="22"/>
      <c r="I33" s="22"/>
      <c r="J33" s="22"/>
      <c r="K33" s="22"/>
      <c r="L33" s="22"/>
      <c r="M33" s="22"/>
      <c r="N33" s="22"/>
      <c r="O33" s="22"/>
      <c r="P33" s="22"/>
      <c r="Q33" s="22"/>
      <c r="R33" s="22"/>
      <c r="S33" s="22"/>
    </row>
    <row r="34" spans="1:19" ht="32.450000000000003" customHeight="1">
      <c r="A34" s="22" t="s">
        <v>1240</v>
      </c>
      <c r="B34" s="105"/>
      <c r="C34" s="22" t="s">
        <v>1275</v>
      </c>
      <c r="D34" s="27"/>
      <c r="E34" s="27"/>
      <c r="F34" s="27"/>
      <c r="G34" s="22" t="s">
        <v>1629</v>
      </c>
      <c r="H34" s="22"/>
      <c r="I34" s="22"/>
      <c r="J34" s="22"/>
      <c r="K34" s="22"/>
      <c r="L34" s="22"/>
      <c r="M34" s="22"/>
      <c r="N34" s="22"/>
      <c r="O34" s="22"/>
      <c r="P34" s="22"/>
      <c r="Q34" s="22"/>
      <c r="R34" s="22"/>
      <c r="S34" s="22"/>
    </row>
    <row r="35" spans="1:19" ht="41.25" customHeight="1">
      <c r="A35" s="22" t="s">
        <v>1241</v>
      </c>
      <c r="B35" s="105"/>
      <c r="C35" s="22" t="s">
        <v>1276</v>
      </c>
      <c r="D35" s="27"/>
      <c r="E35" s="27"/>
      <c r="F35" s="27"/>
      <c r="G35" s="22" t="s">
        <v>1630</v>
      </c>
      <c r="H35" s="22"/>
      <c r="I35" s="22"/>
      <c r="J35" s="22"/>
      <c r="K35" s="22"/>
      <c r="L35" s="22"/>
      <c r="M35" s="22"/>
      <c r="N35" s="22"/>
      <c r="O35" s="22"/>
      <c r="P35" s="22"/>
      <c r="Q35" s="22"/>
      <c r="R35" s="22"/>
      <c r="S35" s="22"/>
    </row>
    <row r="36" spans="1:19" ht="38.25" customHeight="1">
      <c r="A36" s="22" t="s">
        <v>1242</v>
      </c>
      <c r="B36" s="105"/>
      <c r="C36" s="22" t="s">
        <v>1277</v>
      </c>
      <c r="D36" s="27"/>
      <c r="E36" s="27"/>
      <c r="F36" s="27"/>
      <c r="G36" s="22" t="s">
        <v>1631</v>
      </c>
      <c r="H36" s="22"/>
      <c r="I36" s="22"/>
      <c r="J36" s="22"/>
      <c r="K36" s="22"/>
      <c r="L36" s="22"/>
      <c r="M36" s="22"/>
      <c r="N36" s="22"/>
      <c r="O36" s="22"/>
      <c r="P36" s="22"/>
      <c r="Q36" s="22"/>
      <c r="R36" s="22"/>
      <c r="S36" s="22"/>
    </row>
    <row r="37" spans="1:19" ht="38.450000000000003" customHeight="1">
      <c r="A37" s="22" t="s">
        <v>1243</v>
      </c>
      <c r="B37" s="105"/>
      <c r="C37" s="22" t="s">
        <v>1278</v>
      </c>
      <c r="D37" s="26"/>
      <c r="E37" s="26"/>
      <c r="F37" s="26"/>
      <c r="G37" s="22" t="s">
        <v>1632</v>
      </c>
      <c r="H37" s="22"/>
      <c r="I37" s="22"/>
      <c r="J37" s="22"/>
      <c r="K37" s="22"/>
      <c r="L37" s="22"/>
      <c r="M37" s="22"/>
      <c r="N37" s="22"/>
      <c r="O37" s="22"/>
      <c r="P37" s="22"/>
      <c r="Q37" s="22"/>
      <c r="R37" s="22"/>
      <c r="S37" s="22"/>
    </row>
    <row r="38" spans="1:19" ht="25.5">
      <c r="C38" s="22" t="s">
        <v>1279</v>
      </c>
      <c r="D38" s="26"/>
      <c r="E38" s="26"/>
      <c r="F38" s="26"/>
      <c r="G38" s="22" t="s">
        <v>1633</v>
      </c>
      <c r="H38" s="22"/>
      <c r="I38" s="22"/>
      <c r="J38" s="22"/>
      <c r="K38" s="22"/>
      <c r="L38" s="22"/>
      <c r="M38" s="22"/>
      <c r="N38" s="22"/>
      <c r="O38" s="22"/>
      <c r="P38" s="22"/>
      <c r="Q38" s="22"/>
      <c r="R38" s="22"/>
      <c r="S38" s="22"/>
    </row>
    <row r="39" spans="1:19" ht="25.5">
      <c r="C39" s="22" t="s">
        <v>1280</v>
      </c>
      <c r="D39" s="27"/>
      <c r="E39" s="27"/>
      <c r="F39" s="27"/>
      <c r="G39" s="22" t="s">
        <v>1634</v>
      </c>
      <c r="H39" s="22"/>
      <c r="I39" s="22"/>
      <c r="J39" s="22"/>
      <c r="K39" s="22"/>
      <c r="L39" s="22"/>
      <c r="M39" s="22"/>
      <c r="N39" s="22"/>
      <c r="O39" s="22"/>
      <c r="P39" s="22"/>
      <c r="Q39" s="22"/>
      <c r="R39" s="22"/>
      <c r="S39" s="22"/>
    </row>
    <row r="40" spans="1:19" ht="38.25">
      <c r="C40" s="22" t="s">
        <v>1281</v>
      </c>
      <c r="D40" s="27"/>
      <c r="E40" s="27"/>
      <c r="F40" s="27"/>
      <c r="G40" s="22" t="s">
        <v>1635</v>
      </c>
      <c r="H40" s="22"/>
      <c r="I40" s="22"/>
      <c r="J40" s="22"/>
      <c r="K40" s="22"/>
      <c r="L40" s="22"/>
      <c r="M40" s="22"/>
      <c r="N40" s="22"/>
      <c r="O40" s="22"/>
      <c r="P40" s="22"/>
      <c r="Q40" s="22"/>
      <c r="R40" s="22"/>
      <c r="S40" s="22"/>
    </row>
    <row r="41" spans="1:19" ht="23.25" customHeight="1">
      <c r="C41" s="22" t="s">
        <v>1490</v>
      </c>
      <c r="D41" s="27"/>
      <c r="E41" s="27"/>
      <c r="F41" s="27"/>
      <c r="G41" s="22" t="s">
        <v>1636</v>
      </c>
      <c r="H41" s="22"/>
      <c r="I41" s="22"/>
      <c r="J41" s="22"/>
      <c r="K41" s="22"/>
      <c r="L41" s="22"/>
      <c r="M41" s="22"/>
      <c r="N41" s="22"/>
      <c r="O41" s="22"/>
      <c r="P41" s="22"/>
      <c r="Q41" s="22"/>
      <c r="R41" s="22"/>
      <c r="S41" s="22"/>
    </row>
    <row r="42" spans="1:19" ht="23.25" customHeight="1">
      <c r="C42" s="22" t="s">
        <v>1491</v>
      </c>
      <c r="D42" s="26"/>
      <c r="E42" s="26"/>
      <c r="F42" s="26"/>
      <c r="G42" s="22" t="s">
        <v>1637</v>
      </c>
      <c r="H42" s="22"/>
      <c r="I42" s="22"/>
      <c r="J42" s="22"/>
      <c r="K42" s="22"/>
      <c r="L42" s="22"/>
      <c r="M42" s="22"/>
      <c r="N42" s="22"/>
      <c r="O42" s="22"/>
      <c r="P42" s="22"/>
      <c r="Q42" s="22"/>
      <c r="R42" s="22"/>
      <c r="S42" s="22"/>
    </row>
    <row r="43" spans="1:19" ht="23.25" customHeight="1">
      <c r="C43" s="22" t="s">
        <v>1492</v>
      </c>
      <c r="D43" s="26"/>
      <c r="E43" s="26"/>
      <c r="F43" s="26"/>
      <c r="G43" s="22" t="s">
        <v>1638</v>
      </c>
      <c r="H43" s="22"/>
      <c r="I43" s="22"/>
      <c r="J43" s="22"/>
      <c r="K43" s="22"/>
      <c r="L43" s="22"/>
      <c r="M43" s="22"/>
      <c r="N43" s="22"/>
      <c r="O43" s="22"/>
      <c r="P43" s="22"/>
      <c r="Q43" s="22"/>
      <c r="R43" s="22"/>
      <c r="S43" s="22"/>
    </row>
    <row r="44" spans="1:19" ht="23.25" customHeight="1">
      <c r="C44" s="22" t="s">
        <v>1282</v>
      </c>
      <c r="D44" s="26"/>
      <c r="E44" s="26"/>
      <c r="F44" s="26"/>
      <c r="G44" s="22" t="s">
        <v>1639</v>
      </c>
      <c r="H44" s="22"/>
      <c r="I44" s="22"/>
      <c r="J44" s="22"/>
      <c r="K44" s="22"/>
      <c r="L44" s="22"/>
      <c r="M44" s="22"/>
      <c r="N44" s="22"/>
      <c r="O44" s="22"/>
      <c r="P44" s="22"/>
      <c r="Q44" s="22"/>
      <c r="R44" s="22"/>
      <c r="S44" s="22"/>
    </row>
    <row r="45" spans="1:19" ht="23.25" customHeight="1">
      <c r="C45" s="22" t="s">
        <v>1493</v>
      </c>
      <c r="D45" s="25"/>
      <c r="E45" s="25"/>
      <c r="F45" s="25"/>
      <c r="G45" s="22" t="s">
        <v>1640</v>
      </c>
      <c r="H45" s="22"/>
      <c r="I45" s="22"/>
      <c r="J45" s="22"/>
      <c r="K45" s="22"/>
      <c r="L45" s="22"/>
      <c r="M45" s="22"/>
      <c r="N45" s="22"/>
      <c r="O45" s="22"/>
      <c r="P45" s="22"/>
      <c r="Q45" s="22"/>
      <c r="R45" s="22"/>
      <c r="S45" s="22"/>
    </row>
    <row r="46" spans="1:19" ht="23.25" customHeight="1">
      <c r="C46" s="22" t="s">
        <v>1494</v>
      </c>
      <c r="D46" s="26"/>
      <c r="E46" s="26"/>
      <c r="F46" s="26"/>
      <c r="G46" s="22" t="s">
        <v>1641</v>
      </c>
      <c r="H46" s="22"/>
      <c r="I46" s="22"/>
      <c r="J46" s="22"/>
      <c r="K46" s="22"/>
      <c r="L46" s="22"/>
      <c r="M46" s="22"/>
      <c r="N46" s="22"/>
      <c r="O46" s="22"/>
      <c r="P46" s="22"/>
      <c r="Q46" s="22"/>
      <c r="R46" s="22"/>
      <c r="S46" s="22"/>
    </row>
    <row r="47" spans="1:19" ht="23.25" customHeight="1">
      <c r="C47" s="22" t="s">
        <v>1495</v>
      </c>
      <c r="D47" s="26"/>
      <c r="E47" s="26"/>
      <c r="F47" s="26"/>
      <c r="G47" s="22" t="s">
        <v>1642</v>
      </c>
      <c r="H47" s="22"/>
      <c r="I47" s="22"/>
      <c r="J47" s="22"/>
      <c r="K47" s="22"/>
      <c r="L47" s="22"/>
      <c r="M47" s="22"/>
      <c r="N47" s="22"/>
      <c r="O47" s="22"/>
      <c r="P47" s="22"/>
      <c r="Q47" s="22"/>
      <c r="R47" s="22"/>
      <c r="S47" s="22"/>
    </row>
    <row r="48" spans="1:19" ht="23.25" customHeight="1">
      <c r="C48" s="22" t="s">
        <v>1496</v>
      </c>
      <c r="D48" s="26"/>
      <c r="E48" s="26"/>
      <c r="F48" s="26"/>
      <c r="G48" s="22" t="s">
        <v>1643</v>
      </c>
      <c r="H48" s="22"/>
      <c r="I48" s="22"/>
      <c r="J48" s="22"/>
      <c r="K48" s="22"/>
      <c r="L48" s="22"/>
      <c r="M48" s="22"/>
      <c r="N48" s="22"/>
      <c r="O48" s="22"/>
      <c r="P48" s="22"/>
      <c r="Q48" s="22"/>
      <c r="R48" s="22"/>
      <c r="S48" s="22"/>
    </row>
    <row r="49" spans="3:19" ht="23.25" customHeight="1">
      <c r="C49" s="22" t="s">
        <v>1497</v>
      </c>
      <c r="D49" s="26"/>
      <c r="E49" s="26"/>
      <c r="F49" s="26"/>
      <c r="G49" s="22" t="s">
        <v>1644</v>
      </c>
      <c r="H49" s="22"/>
      <c r="I49" s="22"/>
      <c r="J49" s="22"/>
      <c r="K49" s="22"/>
      <c r="L49" s="22"/>
      <c r="M49" s="22"/>
      <c r="N49" s="22"/>
      <c r="O49" s="22"/>
      <c r="P49" s="22"/>
      <c r="Q49" s="22"/>
      <c r="R49" s="22"/>
      <c r="S49" s="22"/>
    </row>
    <row r="50" spans="3:19" ht="23.25" customHeight="1">
      <c r="C50" s="22" t="s">
        <v>1498</v>
      </c>
      <c r="D50" s="26"/>
      <c r="E50" s="26"/>
      <c r="F50" s="26"/>
      <c r="G50" s="22" t="s">
        <v>1645</v>
      </c>
      <c r="H50" s="22"/>
      <c r="I50" s="22"/>
      <c r="J50" s="22"/>
      <c r="K50" s="22"/>
      <c r="L50" s="22"/>
      <c r="M50" s="22"/>
      <c r="N50" s="22"/>
      <c r="O50" s="22"/>
      <c r="P50" s="22"/>
      <c r="Q50" s="22"/>
      <c r="R50" s="22"/>
      <c r="S50" s="22"/>
    </row>
    <row r="51" spans="3:19" ht="25.5">
      <c r="C51" s="22" t="s">
        <v>1499</v>
      </c>
      <c r="D51" s="26"/>
      <c r="E51" s="26"/>
      <c r="F51" s="26"/>
      <c r="G51" s="22" t="s">
        <v>1646</v>
      </c>
      <c r="H51" s="22"/>
      <c r="I51" s="22"/>
      <c r="J51" s="22"/>
      <c r="K51" s="22"/>
      <c r="L51" s="22"/>
      <c r="M51" s="22"/>
      <c r="N51" s="22"/>
      <c r="O51" s="22"/>
      <c r="P51" s="22"/>
      <c r="Q51" s="22"/>
      <c r="R51" s="22"/>
      <c r="S51" s="22"/>
    </row>
    <row r="52" spans="3:19" ht="25.5">
      <c r="C52" s="22" t="s">
        <v>1500</v>
      </c>
      <c r="D52" s="26"/>
      <c r="E52" s="26"/>
      <c r="F52" s="26"/>
      <c r="G52" s="22" t="s">
        <v>1647</v>
      </c>
      <c r="H52" s="22"/>
      <c r="I52" s="22"/>
      <c r="J52" s="22"/>
      <c r="K52" s="22"/>
      <c r="L52" s="22"/>
      <c r="M52" s="22"/>
      <c r="N52" s="22"/>
      <c r="O52" s="22"/>
      <c r="P52" s="22"/>
      <c r="Q52" s="22"/>
      <c r="R52" s="22"/>
      <c r="S52" s="22"/>
    </row>
    <row r="53" spans="3:19" ht="25.5">
      <c r="C53" s="22" t="s">
        <v>1501</v>
      </c>
      <c r="D53" s="26"/>
      <c r="E53" s="26"/>
      <c r="F53" s="26"/>
      <c r="G53" s="22" t="s">
        <v>1648</v>
      </c>
      <c r="H53" s="22"/>
      <c r="I53" s="22"/>
      <c r="J53" s="22"/>
      <c r="K53" s="22"/>
      <c r="L53" s="22"/>
      <c r="M53" s="22"/>
      <c r="N53" s="22"/>
      <c r="O53" s="22"/>
      <c r="P53" s="22"/>
      <c r="Q53" s="22"/>
      <c r="R53" s="22"/>
      <c r="S53" s="22"/>
    </row>
    <row r="54" spans="3:19" ht="25.5">
      <c r="C54" s="22" t="s">
        <v>1502</v>
      </c>
      <c r="D54" s="25"/>
      <c r="E54" s="25"/>
      <c r="F54" s="25"/>
      <c r="G54" s="22" t="s">
        <v>1649</v>
      </c>
      <c r="H54" s="22"/>
      <c r="I54" s="22"/>
      <c r="J54" s="22"/>
      <c r="K54" s="22"/>
      <c r="L54" s="22"/>
      <c r="M54" s="22"/>
      <c r="N54" s="22"/>
      <c r="O54" s="22"/>
      <c r="P54" s="22"/>
      <c r="Q54" s="22"/>
      <c r="R54" s="22"/>
      <c r="S54" s="22"/>
    </row>
    <row r="55" spans="3:19" ht="38.25">
      <c r="C55" s="22" t="s">
        <v>1283</v>
      </c>
      <c r="D55" s="28"/>
      <c r="E55" s="28"/>
      <c r="F55" s="28"/>
      <c r="G55" s="22" t="s">
        <v>1650</v>
      </c>
      <c r="H55" s="22"/>
      <c r="I55" s="22"/>
      <c r="J55" s="22"/>
      <c r="K55" s="22"/>
      <c r="L55" s="22"/>
      <c r="M55" s="22"/>
      <c r="N55" s="22"/>
      <c r="O55" s="22"/>
      <c r="P55" s="22"/>
      <c r="Q55" s="22"/>
      <c r="R55" s="22"/>
      <c r="S55" s="22"/>
    </row>
    <row r="56" spans="3:19" ht="25.5">
      <c r="C56" s="22" t="s">
        <v>1503</v>
      </c>
      <c r="D56" s="28"/>
      <c r="E56" s="28"/>
      <c r="F56" s="28"/>
      <c r="G56" s="22" t="s">
        <v>1652</v>
      </c>
      <c r="H56" s="22"/>
      <c r="I56" s="22"/>
      <c r="J56" s="22"/>
      <c r="K56" s="22"/>
      <c r="L56" s="22"/>
      <c r="M56" s="22"/>
      <c r="N56" s="22"/>
      <c r="O56" s="22"/>
      <c r="P56" s="22"/>
      <c r="Q56" s="22"/>
      <c r="R56" s="22"/>
      <c r="S56" s="22"/>
    </row>
    <row r="57" spans="3:19" ht="25.5">
      <c r="C57" s="22" t="s">
        <v>1504</v>
      </c>
      <c r="D57" s="28"/>
      <c r="E57" s="28"/>
      <c r="F57" s="28"/>
      <c r="G57" s="22" t="s">
        <v>1651</v>
      </c>
      <c r="H57" s="22"/>
      <c r="I57" s="22"/>
      <c r="J57" s="22"/>
      <c r="K57" s="22"/>
      <c r="L57" s="22"/>
      <c r="M57" s="22"/>
      <c r="N57" s="22"/>
      <c r="O57" s="22"/>
      <c r="P57" s="22"/>
      <c r="Q57" s="22"/>
      <c r="R57" s="22"/>
      <c r="S57" s="22"/>
    </row>
    <row r="58" spans="3:19" ht="51">
      <c r="C58" s="22" t="s">
        <v>1505</v>
      </c>
      <c r="D58" s="26"/>
      <c r="E58" s="26"/>
      <c r="F58" s="26"/>
      <c r="G58" s="22" t="s">
        <v>1653</v>
      </c>
      <c r="H58" s="22"/>
      <c r="I58" s="22"/>
      <c r="J58" s="22"/>
      <c r="K58" s="22"/>
      <c r="L58" s="22"/>
      <c r="M58" s="22"/>
      <c r="N58" s="22"/>
      <c r="O58" s="22"/>
      <c r="P58" s="22"/>
      <c r="Q58" s="22"/>
      <c r="R58" s="22"/>
      <c r="S58" s="22"/>
    </row>
    <row r="59" spans="3:19" ht="25.5">
      <c r="C59" s="22" t="s">
        <v>1506</v>
      </c>
      <c r="D59" s="28"/>
      <c r="E59" s="28"/>
      <c r="F59" s="28"/>
      <c r="G59" s="22"/>
      <c r="H59" s="22"/>
      <c r="I59" s="22"/>
      <c r="J59" s="22"/>
      <c r="K59" s="22"/>
      <c r="L59" s="22"/>
      <c r="M59" s="22"/>
      <c r="N59" s="22"/>
      <c r="O59" s="22"/>
      <c r="P59" s="22"/>
      <c r="Q59" s="22"/>
      <c r="R59" s="22"/>
      <c r="S59" s="22"/>
    </row>
    <row r="60" spans="3:19">
      <c r="C60" s="22" t="s">
        <v>1507</v>
      </c>
      <c r="D60" s="25"/>
      <c r="E60" s="25"/>
      <c r="F60" s="25"/>
      <c r="G60" s="22"/>
      <c r="H60" s="22"/>
      <c r="I60" s="22"/>
      <c r="J60" s="22"/>
      <c r="K60" s="22"/>
      <c r="L60" s="22"/>
      <c r="M60" s="22"/>
      <c r="N60" s="22"/>
      <c r="O60" s="22"/>
      <c r="P60" s="22"/>
      <c r="Q60" s="22"/>
      <c r="R60" s="22"/>
      <c r="S60" s="22"/>
    </row>
    <row r="61" spans="3:19" ht="25.5">
      <c r="C61" s="22" t="s">
        <v>1508</v>
      </c>
      <c r="D61" s="26"/>
      <c r="E61" s="26"/>
      <c r="F61" s="26"/>
      <c r="G61" s="22"/>
      <c r="H61" s="22"/>
      <c r="I61" s="22"/>
      <c r="J61" s="22"/>
      <c r="K61" s="22"/>
      <c r="L61" s="22"/>
      <c r="M61" s="22"/>
      <c r="N61" s="22"/>
      <c r="O61" s="22"/>
      <c r="P61" s="22"/>
      <c r="Q61" s="22"/>
      <c r="R61" s="22"/>
      <c r="S61" s="22"/>
    </row>
    <row r="62" spans="3:19" ht="25.5">
      <c r="C62" s="22" t="s">
        <v>1284</v>
      </c>
      <c r="D62" s="26"/>
      <c r="E62" s="26"/>
      <c r="F62" s="26"/>
      <c r="G62" s="22"/>
      <c r="H62" s="22"/>
      <c r="I62" s="22"/>
      <c r="J62" s="22"/>
      <c r="K62" s="22"/>
      <c r="L62" s="22"/>
      <c r="M62" s="22"/>
      <c r="N62" s="22"/>
      <c r="O62" s="22"/>
      <c r="P62" s="22"/>
      <c r="Q62" s="22"/>
      <c r="R62" s="22"/>
      <c r="S62" s="22"/>
    </row>
    <row r="63" spans="3:19" ht="25.5">
      <c r="C63" s="22" t="s">
        <v>1509</v>
      </c>
      <c r="D63" s="26"/>
      <c r="E63" s="26"/>
      <c r="F63" s="26"/>
    </row>
    <row r="64" spans="3:19" ht="25.5">
      <c r="C64" s="22" t="s">
        <v>1510</v>
      </c>
      <c r="D64" s="26"/>
      <c r="E64" s="26"/>
      <c r="F64" s="26"/>
    </row>
    <row r="65" spans="3:19" ht="25.5">
      <c r="C65" s="22" t="s">
        <v>1284</v>
      </c>
      <c r="D65" s="26"/>
      <c r="E65" s="26"/>
      <c r="F65" s="26"/>
    </row>
    <row r="66" spans="3:19" ht="25.5">
      <c r="C66" s="22" t="s">
        <v>1285</v>
      </c>
      <c r="D66" s="26"/>
      <c r="E66" s="26"/>
      <c r="F66" s="26"/>
      <c r="G66" s="26"/>
      <c r="H66" s="26"/>
      <c r="I66" s="26"/>
      <c r="J66" s="26"/>
      <c r="K66" s="26"/>
      <c r="L66" s="26"/>
      <c r="M66" s="26"/>
      <c r="N66" s="26"/>
      <c r="O66" s="26"/>
      <c r="P66" s="26"/>
      <c r="Q66" s="26"/>
      <c r="R66" s="26"/>
      <c r="S66" s="26"/>
    </row>
    <row r="67" spans="3:19">
      <c r="C67" s="22" t="s">
        <v>1286</v>
      </c>
      <c r="D67" s="26"/>
      <c r="E67" s="26"/>
      <c r="F67" s="26"/>
      <c r="G67" s="26"/>
      <c r="H67" s="26"/>
      <c r="I67" s="26"/>
      <c r="J67" s="26"/>
      <c r="K67" s="26"/>
      <c r="L67" s="26"/>
      <c r="M67" s="26"/>
      <c r="N67" s="26"/>
      <c r="O67" s="26"/>
      <c r="P67" s="26"/>
      <c r="Q67" s="26"/>
      <c r="R67" s="26"/>
      <c r="S67" s="26"/>
    </row>
    <row r="68" spans="3:19" ht="25.5">
      <c r="C68" s="22" t="s">
        <v>1511</v>
      </c>
      <c r="D68" s="26"/>
      <c r="E68" s="26"/>
      <c r="F68" s="26"/>
      <c r="G68" s="26"/>
      <c r="H68" s="26"/>
      <c r="I68" s="26"/>
      <c r="J68" s="26"/>
      <c r="K68" s="26"/>
      <c r="L68" s="26"/>
      <c r="M68" s="26"/>
      <c r="N68" s="26"/>
      <c r="O68" s="26"/>
      <c r="P68" s="26"/>
      <c r="Q68" s="26"/>
      <c r="R68" s="26"/>
      <c r="S68" s="26"/>
    </row>
    <row r="69" spans="3:19">
      <c r="C69" s="22" t="s">
        <v>1512</v>
      </c>
      <c r="D69" s="26"/>
      <c r="E69" s="26"/>
      <c r="F69" s="26"/>
      <c r="G69" s="26"/>
      <c r="H69" s="26"/>
      <c r="I69" s="26"/>
      <c r="J69" s="26"/>
      <c r="K69" s="26"/>
      <c r="L69" s="26"/>
      <c r="M69" s="26"/>
      <c r="N69" s="26"/>
      <c r="O69" s="26"/>
      <c r="P69" s="26"/>
      <c r="Q69" s="26"/>
      <c r="R69" s="26"/>
      <c r="S69" s="26"/>
    </row>
    <row r="70" spans="3:19">
      <c r="C70" s="22" t="s">
        <v>1513</v>
      </c>
      <c r="D70" s="25"/>
      <c r="E70" s="25"/>
      <c r="F70" s="25"/>
      <c r="G70" s="25"/>
      <c r="H70" s="25"/>
      <c r="I70" s="25"/>
      <c r="J70" s="25"/>
      <c r="K70" s="25"/>
      <c r="L70" s="25"/>
      <c r="M70" s="25"/>
      <c r="N70" s="25"/>
      <c r="O70" s="25"/>
      <c r="P70" s="25"/>
      <c r="Q70" s="25"/>
      <c r="R70" s="25"/>
      <c r="S70" s="25"/>
    </row>
    <row r="71" spans="3:19" ht="25.5">
      <c r="C71" s="22" t="s">
        <v>1514</v>
      </c>
      <c r="D71" s="26"/>
      <c r="E71" s="26"/>
      <c r="F71" s="26"/>
      <c r="G71" s="26"/>
      <c r="H71" s="26"/>
      <c r="I71" s="26"/>
      <c r="J71" s="26"/>
      <c r="K71" s="26"/>
      <c r="L71" s="26"/>
      <c r="M71" s="26"/>
      <c r="N71" s="26"/>
      <c r="O71" s="26"/>
      <c r="P71" s="26"/>
      <c r="Q71" s="26"/>
      <c r="R71" s="26"/>
      <c r="S71" s="26"/>
    </row>
    <row r="72" spans="3:19">
      <c r="C72" s="22" t="s">
        <v>1515</v>
      </c>
      <c r="D72" s="26"/>
      <c r="E72" s="26"/>
      <c r="F72" s="26"/>
      <c r="G72" s="26"/>
      <c r="H72" s="26"/>
      <c r="I72" s="26"/>
      <c r="J72" s="26"/>
      <c r="K72" s="26"/>
      <c r="L72" s="26"/>
      <c r="M72" s="26"/>
      <c r="N72" s="26"/>
      <c r="O72" s="26"/>
      <c r="P72" s="26"/>
      <c r="Q72" s="26"/>
      <c r="R72" s="26"/>
      <c r="S72" s="26"/>
    </row>
    <row r="73" spans="3:19">
      <c r="C73" s="22" t="s">
        <v>1516</v>
      </c>
      <c r="D73" s="26"/>
      <c r="E73" s="26"/>
      <c r="F73" s="26"/>
      <c r="G73" s="26"/>
      <c r="H73" s="26"/>
      <c r="I73" s="26"/>
      <c r="J73" s="26"/>
      <c r="K73" s="26"/>
      <c r="L73" s="26"/>
      <c r="M73" s="26"/>
      <c r="N73" s="26"/>
      <c r="O73" s="26"/>
      <c r="P73" s="26"/>
      <c r="Q73" s="26"/>
      <c r="R73" s="26"/>
      <c r="S73" s="26"/>
    </row>
    <row r="74" spans="3:19" ht="25.5">
      <c r="C74" s="22" t="s">
        <v>1517</v>
      </c>
      <c r="D74" s="26"/>
      <c r="E74" s="26"/>
      <c r="F74" s="26"/>
      <c r="G74" s="26"/>
      <c r="H74" s="26"/>
      <c r="I74" s="26"/>
      <c r="J74" s="26"/>
      <c r="K74" s="26"/>
      <c r="L74" s="26"/>
      <c r="M74" s="26"/>
      <c r="N74" s="26"/>
      <c r="O74" s="26"/>
      <c r="P74" s="26"/>
      <c r="Q74" s="26"/>
      <c r="R74" s="26"/>
      <c r="S74" s="26"/>
    </row>
    <row r="75" spans="3:19" ht="38.25">
      <c r="C75" s="22" t="s">
        <v>1518</v>
      </c>
      <c r="D75" s="26"/>
      <c r="E75" s="26"/>
      <c r="F75" s="26"/>
      <c r="G75" s="26"/>
      <c r="H75" s="26"/>
      <c r="I75" s="26"/>
      <c r="J75" s="26"/>
      <c r="K75" s="26"/>
      <c r="L75" s="26"/>
      <c r="M75" s="26"/>
      <c r="N75" s="26"/>
      <c r="O75" s="26"/>
      <c r="P75" s="26"/>
      <c r="Q75" s="26"/>
      <c r="R75" s="26"/>
      <c r="S75" s="26"/>
    </row>
    <row r="76" spans="3:19" ht="38.25">
      <c r="C76" s="22" t="s">
        <v>1519</v>
      </c>
      <c r="D76" s="26"/>
      <c r="E76" s="26"/>
      <c r="F76" s="26"/>
      <c r="G76" s="26"/>
      <c r="H76" s="26"/>
      <c r="I76" s="26"/>
      <c r="J76" s="26"/>
      <c r="K76" s="26"/>
      <c r="L76" s="26"/>
      <c r="M76" s="26"/>
      <c r="N76" s="26"/>
      <c r="O76" s="26"/>
      <c r="P76" s="26"/>
      <c r="Q76" s="26"/>
      <c r="R76" s="26"/>
      <c r="S76" s="26"/>
    </row>
    <row r="77" spans="3:19">
      <c r="C77" s="22" t="s">
        <v>1520</v>
      </c>
      <c r="D77" s="26"/>
      <c r="E77" s="26"/>
      <c r="F77" s="26"/>
      <c r="G77" s="26"/>
      <c r="H77" s="26"/>
      <c r="I77" s="26"/>
      <c r="J77" s="26"/>
      <c r="K77" s="26"/>
      <c r="L77" s="26"/>
      <c r="M77" s="26"/>
      <c r="N77" s="26"/>
      <c r="O77" s="26"/>
      <c r="P77" s="26"/>
      <c r="Q77" s="26"/>
      <c r="R77" s="26"/>
      <c r="S77" s="26"/>
    </row>
    <row r="78" spans="3:19" ht="25.5">
      <c r="C78" s="22" t="s">
        <v>1521</v>
      </c>
      <c r="D78" s="26"/>
      <c r="E78" s="26"/>
      <c r="F78" s="26"/>
      <c r="G78" s="26"/>
      <c r="H78" s="26"/>
      <c r="I78" s="26"/>
      <c r="J78" s="26"/>
      <c r="K78" s="26"/>
      <c r="L78" s="26"/>
      <c r="M78" s="26"/>
      <c r="N78" s="26"/>
      <c r="O78" s="26"/>
      <c r="P78" s="26"/>
      <c r="Q78" s="26"/>
      <c r="R78" s="26"/>
      <c r="S78" s="26"/>
    </row>
    <row r="79" spans="3:19" ht="25.5">
      <c r="C79" s="22" t="s">
        <v>1522</v>
      </c>
      <c r="D79" s="26"/>
      <c r="E79" s="26"/>
      <c r="F79" s="26"/>
      <c r="G79" s="26"/>
      <c r="H79" s="26"/>
      <c r="I79" s="26"/>
      <c r="J79" s="26"/>
      <c r="K79" s="26"/>
      <c r="L79" s="26"/>
      <c r="M79" s="26"/>
      <c r="N79" s="26"/>
      <c r="O79" s="26"/>
      <c r="P79" s="26"/>
      <c r="Q79" s="26"/>
      <c r="R79" s="26"/>
      <c r="S79" s="26"/>
    </row>
    <row r="80" spans="3:19" ht="25.5">
      <c r="C80" s="22" t="s">
        <v>1523</v>
      </c>
      <c r="D80" s="29"/>
      <c r="E80" s="29"/>
      <c r="F80" s="29"/>
      <c r="G80" s="29"/>
      <c r="H80" s="29"/>
      <c r="I80" s="29"/>
      <c r="J80" s="29"/>
      <c r="K80" s="29"/>
      <c r="L80" s="29"/>
      <c r="M80" s="29"/>
      <c r="N80" s="29"/>
      <c r="O80" s="29"/>
      <c r="P80" s="29"/>
      <c r="Q80" s="29"/>
      <c r="R80" s="29"/>
      <c r="S80" s="29"/>
    </row>
    <row r="81" spans="3:19" ht="25.5">
      <c r="C81" s="22" t="s">
        <v>1524</v>
      </c>
      <c r="D81" s="29"/>
      <c r="E81" s="29"/>
      <c r="F81" s="29"/>
      <c r="G81" s="29"/>
      <c r="H81" s="29"/>
      <c r="I81" s="29"/>
      <c r="J81" s="29"/>
      <c r="K81" s="29"/>
      <c r="L81" s="29"/>
      <c r="M81" s="29"/>
      <c r="N81" s="29"/>
      <c r="O81" s="29"/>
      <c r="P81" s="29"/>
      <c r="Q81" s="29"/>
      <c r="R81" s="29"/>
      <c r="S81" s="29"/>
    </row>
    <row r="82" spans="3:19" ht="25.5">
      <c r="C82" s="22" t="s">
        <v>1525</v>
      </c>
      <c r="D82" s="25"/>
      <c r="E82" s="25"/>
      <c r="F82" s="25"/>
      <c r="G82" s="25"/>
      <c r="H82" s="25"/>
      <c r="I82" s="25"/>
      <c r="J82" s="25"/>
      <c r="K82" s="25"/>
      <c r="L82" s="25"/>
      <c r="M82" s="25"/>
      <c r="N82" s="25"/>
      <c r="O82" s="25"/>
      <c r="P82" s="25"/>
      <c r="Q82" s="25"/>
      <c r="R82" s="25"/>
      <c r="S82" s="25"/>
    </row>
    <row r="83" spans="3:19" ht="25.5">
      <c r="C83" s="22" t="s">
        <v>1526</v>
      </c>
      <c r="D83" s="26"/>
      <c r="E83" s="26"/>
      <c r="F83" s="26"/>
      <c r="G83" s="26"/>
      <c r="H83" s="26"/>
      <c r="I83" s="26"/>
      <c r="J83" s="26"/>
      <c r="K83" s="26"/>
      <c r="L83" s="26"/>
      <c r="M83" s="26"/>
      <c r="N83" s="26"/>
      <c r="O83" s="26"/>
      <c r="P83" s="26"/>
      <c r="Q83" s="26"/>
      <c r="R83" s="26"/>
      <c r="S83" s="26"/>
    </row>
    <row r="84" spans="3:19" ht="25.5">
      <c r="C84" s="22" t="s">
        <v>1527</v>
      </c>
      <c r="D84" s="26"/>
      <c r="E84" s="26"/>
      <c r="F84" s="26"/>
      <c r="G84" s="26"/>
      <c r="H84" s="26"/>
      <c r="I84" s="26"/>
      <c r="J84" s="26"/>
      <c r="K84" s="26"/>
      <c r="L84" s="26"/>
      <c r="M84" s="26"/>
      <c r="N84" s="26"/>
      <c r="O84" s="26"/>
      <c r="P84" s="26"/>
      <c r="Q84" s="26"/>
      <c r="R84" s="26"/>
      <c r="S84" s="26"/>
    </row>
    <row r="85" spans="3:19" ht="25.5">
      <c r="C85" s="22" t="s">
        <v>1528</v>
      </c>
      <c r="D85" s="26"/>
      <c r="E85" s="26"/>
      <c r="F85" s="26"/>
      <c r="G85" s="26"/>
      <c r="H85" s="26"/>
      <c r="I85" s="26"/>
      <c r="J85" s="26"/>
      <c r="K85" s="26"/>
      <c r="L85" s="26"/>
      <c r="M85" s="26"/>
      <c r="N85" s="26"/>
      <c r="O85" s="26"/>
      <c r="P85" s="26"/>
      <c r="Q85" s="26"/>
      <c r="R85" s="26"/>
      <c r="S85" s="26"/>
    </row>
    <row r="86" spans="3:19" ht="25.5">
      <c r="C86" s="22" t="s">
        <v>1529</v>
      </c>
      <c r="D86" s="26"/>
      <c r="E86" s="26"/>
      <c r="F86" s="26"/>
      <c r="G86" s="26"/>
      <c r="H86" s="26"/>
      <c r="I86" s="26"/>
      <c r="J86" s="26"/>
      <c r="K86" s="26"/>
      <c r="L86" s="26"/>
      <c r="M86" s="26"/>
      <c r="N86" s="26"/>
      <c r="O86" s="26"/>
      <c r="P86" s="26"/>
      <c r="Q86" s="26"/>
      <c r="R86" s="26"/>
      <c r="S86" s="26"/>
    </row>
    <row r="87" spans="3:19">
      <c r="C87" s="22" t="s">
        <v>1530</v>
      </c>
      <c r="D87" s="25"/>
      <c r="E87" s="25"/>
      <c r="F87" s="25"/>
      <c r="G87" s="25"/>
      <c r="H87" s="25"/>
      <c r="I87" s="25"/>
      <c r="J87" s="25"/>
      <c r="K87" s="25"/>
      <c r="L87" s="25"/>
      <c r="M87" s="25"/>
      <c r="N87" s="25"/>
      <c r="O87" s="25"/>
      <c r="P87" s="25"/>
      <c r="Q87" s="25"/>
      <c r="R87" s="25"/>
      <c r="S87" s="25"/>
    </row>
    <row r="88" spans="3:19" ht="38.25">
      <c r="C88" s="22" t="s">
        <v>1531</v>
      </c>
      <c r="D88" s="26"/>
      <c r="E88" s="26"/>
      <c r="F88" s="26"/>
      <c r="G88" s="26"/>
      <c r="H88" s="26"/>
      <c r="I88" s="26"/>
      <c r="J88" s="26"/>
      <c r="K88" s="26"/>
      <c r="L88" s="26"/>
      <c r="M88" s="26"/>
      <c r="N88" s="26"/>
      <c r="O88" s="26"/>
      <c r="P88" s="26"/>
      <c r="Q88" s="26"/>
      <c r="R88" s="26"/>
      <c r="S88" s="26"/>
    </row>
    <row r="89" spans="3:19" ht="25.5">
      <c r="C89" s="22" t="s">
        <v>1532</v>
      </c>
      <c r="D89" s="26"/>
      <c r="E89" s="26"/>
      <c r="F89" s="26"/>
      <c r="G89" s="26"/>
      <c r="H89" s="26"/>
      <c r="I89" s="26"/>
      <c r="J89" s="26"/>
      <c r="K89" s="26"/>
      <c r="L89" s="26"/>
      <c r="M89" s="26"/>
      <c r="N89" s="26"/>
      <c r="O89" s="26"/>
      <c r="P89" s="26"/>
      <c r="Q89" s="26"/>
      <c r="R89" s="26"/>
      <c r="S89" s="26"/>
    </row>
    <row r="90" spans="3:19" ht="25.5">
      <c r="C90" s="22" t="s">
        <v>1533</v>
      </c>
      <c r="D90" s="26"/>
      <c r="E90" s="26"/>
      <c r="F90" s="26"/>
      <c r="G90" s="26"/>
      <c r="H90" s="26"/>
      <c r="I90" s="26"/>
      <c r="J90" s="26"/>
      <c r="K90" s="26"/>
      <c r="L90" s="26"/>
      <c r="M90" s="26"/>
      <c r="N90" s="26"/>
      <c r="O90" s="26"/>
      <c r="P90" s="26"/>
      <c r="Q90" s="26"/>
      <c r="R90" s="26"/>
      <c r="S90" s="26"/>
    </row>
    <row r="91" spans="3:19" ht="25.5">
      <c r="C91" s="22" t="s">
        <v>1534</v>
      </c>
      <c r="D91" s="26"/>
      <c r="E91" s="26"/>
      <c r="F91" s="26"/>
      <c r="G91" s="26"/>
      <c r="H91" s="26"/>
      <c r="I91" s="26"/>
      <c r="J91" s="26"/>
      <c r="K91" s="26"/>
      <c r="L91" s="26"/>
      <c r="M91" s="26"/>
      <c r="N91" s="26"/>
      <c r="O91" s="26"/>
      <c r="P91" s="26"/>
      <c r="Q91" s="26"/>
      <c r="R91" s="26"/>
      <c r="S91" s="26"/>
    </row>
    <row r="92" spans="3:19" ht="25.5">
      <c r="C92" s="22" t="s">
        <v>1535</v>
      </c>
      <c r="D92" s="26"/>
      <c r="E92" s="26"/>
      <c r="F92" s="26"/>
      <c r="G92" s="26"/>
      <c r="H92" s="26"/>
      <c r="I92" s="26"/>
      <c r="J92" s="26"/>
      <c r="K92" s="26"/>
      <c r="L92" s="26"/>
      <c r="M92" s="26"/>
      <c r="N92" s="26"/>
      <c r="O92" s="26"/>
      <c r="P92" s="26"/>
      <c r="Q92" s="26"/>
      <c r="R92" s="26"/>
      <c r="S92" s="26"/>
    </row>
    <row r="93" spans="3:19" ht="25.5">
      <c r="C93" s="22" t="s">
        <v>1536</v>
      </c>
      <c r="D93" s="26"/>
      <c r="E93" s="26"/>
      <c r="F93" s="26"/>
      <c r="G93" s="26"/>
      <c r="H93" s="26"/>
      <c r="I93" s="26"/>
      <c r="J93" s="26"/>
      <c r="K93" s="26"/>
      <c r="L93" s="26"/>
      <c r="M93" s="26"/>
      <c r="N93" s="26"/>
      <c r="O93" s="26"/>
      <c r="P93" s="26"/>
      <c r="Q93" s="26"/>
      <c r="R93" s="26"/>
      <c r="S93" s="26"/>
    </row>
    <row r="94" spans="3:19" ht="25.5">
      <c r="C94" s="22" t="s">
        <v>1537</v>
      </c>
      <c r="D94" s="26"/>
      <c r="E94" s="26"/>
      <c r="F94" s="26"/>
      <c r="G94" s="26"/>
      <c r="H94" s="26"/>
      <c r="I94" s="26"/>
      <c r="J94" s="26"/>
      <c r="K94" s="26"/>
      <c r="L94" s="26"/>
      <c r="M94" s="26"/>
      <c r="N94" s="26"/>
      <c r="O94" s="26"/>
      <c r="P94" s="26"/>
      <c r="Q94" s="26"/>
      <c r="R94" s="26"/>
      <c r="S94" s="26"/>
    </row>
    <row r="95" spans="3:19">
      <c r="C95" s="22" t="s">
        <v>1538</v>
      </c>
    </row>
    <row r="96" spans="3:19" ht="25.5">
      <c r="C96" s="22" t="s">
        <v>1539</v>
      </c>
    </row>
    <row r="97" spans="3:3" ht="25.5">
      <c r="C97" s="22" t="s">
        <v>1540</v>
      </c>
    </row>
    <row r="98" spans="3:3" ht="25.5">
      <c r="C98" s="22" t="s">
        <v>1541</v>
      </c>
    </row>
    <row r="99" spans="3:3" ht="25.5">
      <c r="C99" s="106" t="s">
        <v>1542</v>
      </c>
    </row>
    <row r="100" spans="3:3" ht="25.5">
      <c r="C100" s="106" t="s">
        <v>1543</v>
      </c>
    </row>
    <row r="101" spans="3:3" ht="25.5">
      <c r="C101" s="106" t="s">
        <v>1544</v>
      </c>
    </row>
    <row r="102" spans="3:3" ht="25.5">
      <c r="C102" s="106" t="s">
        <v>1545</v>
      </c>
    </row>
    <row r="103" spans="3:3" ht="25.5">
      <c r="C103" s="106" t="s">
        <v>1546</v>
      </c>
    </row>
    <row r="104" spans="3:3" ht="25.5">
      <c r="C104" s="106" t="s">
        <v>1547</v>
      </c>
    </row>
    <row r="105" spans="3:3" ht="38.25">
      <c r="C105" s="106" t="s">
        <v>1548</v>
      </c>
    </row>
    <row r="106" spans="3:3" ht="25.5">
      <c r="C106" s="106" t="s">
        <v>1549</v>
      </c>
    </row>
    <row r="107" spans="3:3" ht="25.5">
      <c r="C107" s="106" t="s">
        <v>1550</v>
      </c>
    </row>
    <row r="108" spans="3:3" ht="25.5">
      <c r="C108" s="106" t="s">
        <v>1551</v>
      </c>
    </row>
    <row r="109" spans="3:3" ht="25.5">
      <c r="C109" s="106" t="s">
        <v>1552</v>
      </c>
    </row>
    <row r="110" spans="3:3" ht="25.5">
      <c r="C110" s="106" t="s">
        <v>1553</v>
      </c>
    </row>
    <row r="111" spans="3:3" ht="38.25">
      <c r="C111" s="106" t="s">
        <v>1554</v>
      </c>
    </row>
    <row r="112" spans="3:3" ht="25.5">
      <c r="C112" s="106" t="s">
        <v>1555</v>
      </c>
    </row>
    <row r="113" spans="3:3" ht="38.25">
      <c r="C113" s="106" t="s">
        <v>1556</v>
      </c>
    </row>
    <row r="114" spans="3:3" ht="25.5">
      <c r="C114" s="106" t="s">
        <v>1557</v>
      </c>
    </row>
    <row r="115" spans="3:3" ht="25.5">
      <c r="C115" s="106" t="s">
        <v>1558</v>
      </c>
    </row>
    <row r="116" spans="3:3" ht="38.25">
      <c r="C116" s="106" t="s">
        <v>1559</v>
      </c>
    </row>
    <row r="117" spans="3:3" ht="38.25">
      <c r="C117" s="106" t="s">
        <v>1560</v>
      </c>
    </row>
    <row r="118" spans="3:3" ht="25.5">
      <c r="C118" s="106" t="s">
        <v>1561</v>
      </c>
    </row>
    <row r="119" spans="3:3" ht="25.5">
      <c r="C119" s="106" t="s">
        <v>1562</v>
      </c>
    </row>
    <row r="120" spans="3:3" ht="25.5">
      <c r="C120" s="106" t="s">
        <v>1563</v>
      </c>
    </row>
    <row r="121" spans="3:3" ht="25.5">
      <c r="C121" s="106" t="s">
        <v>1564</v>
      </c>
    </row>
    <row r="122" spans="3:3" ht="25.5">
      <c r="C122" s="106" t="s">
        <v>1565</v>
      </c>
    </row>
    <row r="123" spans="3:3">
      <c r="C123" s="106" t="s">
        <v>1566</v>
      </c>
    </row>
    <row r="124" spans="3:3" ht="25.5">
      <c r="C124" s="106" t="s">
        <v>1567</v>
      </c>
    </row>
    <row r="125" spans="3:3" ht="25.5">
      <c r="C125" s="106" t="s">
        <v>1568</v>
      </c>
    </row>
    <row r="126" spans="3:3">
      <c r="C126" s="106" t="s">
        <v>1569</v>
      </c>
    </row>
    <row r="127" spans="3:3">
      <c r="C127" s="106" t="s">
        <v>1570</v>
      </c>
    </row>
    <row r="128" spans="3:3" ht="25.5">
      <c r="C128" s="22" t="s">
        <v>1287</v>
      </c>
    </row>
    <row r="129" spans="3:3" ht="25.5">
      <c r="C129" s="22" t="s">
        <v>1288</v>
      </c>
    </row>
    <row r="130" spans="3:3">
      <c r="C130" s="106" t="s">
        <v>1571</v>
      </c>
    </row>
    <row r="131" spans="3:3" ht="25.5">
      <c r="C131" s="106" t="s">
        <v>1572</v>
      </c>
    </row>
    <row r="132" spans="3:3" ht="25.5">
      <c r="C132" s="106" t="s">
        <v>1573</v>
      </c>
    </row>
    <row r="133" spans="3:3" ht="38.25">
      <c r="C133" s="106" t="s">
        <v>1574</v>
      </c>
    </row>
    <row r="134" spans="3:3">
      <c r="C134" s="106" t="s">
        <v>1575</v>
      </c>
    </row>
    <row r="135" spans="3:3" ht="38.25">
      <c r="C135" s="106" t="s">
        <v>1576</v>
      </c>
    </row>
    <row r="136" spans="3:3" ht="25.5">
      <c r="C136" s="106" t="s">
        <v>1577</v>
      </c>
    </row>
    <row r="137" spans="3:3" ht="25.5">
      <c r="C137" s="106" t="s">
        <v>1578</v>
      </c>
    </row>
    <row r="138" spans="3:3" ht="25.5">
      <c r="C138" s="106" t="s">
        <v>1579</v>
      </c>
    </row>
    <row r="139" spans="3:3" ht="51">
      <c r="C139" s="106" t="s">
        <v>1580</v>
      </c>
    </row>
    <row r="140" spans="3:3" ht="25.5">
      <c r="C140" s="106" t="s">
        <v>1581</v>
      </c>
    </row>
    <row r="141" spans="3:3" ht="25.5">
      <c r="C141" s="106" t="s">
        <v>1582</v>
      </c>
    </row>
  </sheetData>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9A900"/>
  </sheetPr>
  <dimension ref="A3:BU546"/>
  <sheetViews>
    <sheetView showGridLines="0" zoomScale="70" zoomScaleNormal="70" workbookViewId="0">
      <selection activeCell="K487" sqref="K487:AO487"/>
    </sheetView>
  </sheetViews>
  <sheetFormatPr baseColWidth="10" defaultColWidth="10.875" defaultRowHeight="19.5"/>
  <cols>
    <col min="1" max="64" width="4.5" style="52" customWidth="1"/>
    <col min="65" max="16384" width="10.875" style="52"/>
  </cols>
  <sheetData>
    <row r="3" spans="2:73">
      <c r="BJ3" s="81"/>
      <c r="BK3" s="81"/>
      <c r="BL3" s="81"/>
      <c r="BM3" s="81"/>
      <c r="BN3" s="81"/>
      <c r="BO3" s="81"/>
      <c r="BP3" s="81"/>
      <c r="BQ3" s="81"/>
      <c r="BR3" s="81"/>
      <c r="BS3" s="81"/>
      <c r="BT3" s="81"/>
      <c r="BU3" s="81"/>
    </row>
    <row r="4" spans="2:73">
      <c r="BJ4" s="81"/>
      <c r="BK4" s="81"/>
      <c r="BL4" s="81"/>
      <c r="BM4" s="81"/>
      <c r="BN4" s="81"/>
      <c r="BO4" s="81"/>
      <c r="BP4" s="81"/>
      <c r="BQ4" s="81"/>
      <c r="BR4" s="81"/>
      <c r="BS4" s="81"/>
      <c r="BT4" s="81"/>
      <c r="BU4" s="81"/>
    </row>
    <row r="5" spans="2:73">
      <c r="BJ5" s="81"/>
      <c r="BK5" s="81"/>
      <c r="BL5" s="81"/>
      <c r="BM5" s="81"/>
      <c r="BN5" s="81"/>
      <c r="BO5" s="81"/>
      <c r="BP5" s="81"/>
      <c r="BQ5" s="81"/>
      <c r="BR5" s="81"/>
      <c r="BS5" s="81"/>
      <c r="BT5" s="81"/>
      <c r="BU5" s="81"/>
    </row>
    <row r="6" spans="2:73">
      <c r="B6" s="325" t="s">
        <v>1882</v>
      </c>
      <c r="C6" s="325"/>
      <c r="D6" s="325"/>
      <c r="E6" s="325"/>
      <c r="F6" s="325"/>
      <c r="G6" s="325"/>
      <c r="H6" s="325"/>
      <c r="I6" s="325"/>
      <c r="J6" s="325"/>
      <c r="K6" s="325"/>
      <c r="L6" s="325"/>
      <c r="M6" s="325"/>
      <c r="N6" s="325"/>
      <c r="O6" s="325"/>
      <c r="P6" s="325"/>
      <c r="Q6" s="325"/>
      <c r="R6" s="325"/>
      <c r="S6" s="325"/>
      <c r="T6" s="325"/>
      <c r="U6" s="325"/>
      <c r="V6" s="325"/>
      <c r="W6" s="325"/>
      <c r="X6" s="325"/>
      <c r="Y6" s="325"/>
      <c r="Z6" s="325"/>
      <c r="AA6" s="325"/>
      <c r="AB6" s="325"/>
      <c r="AC6" s="325"/>
      <c r="AD6" s="325"/>
      <c r="AE6" s="325"/>
      <c r="AF6" s="325"/>
      <c r="AG6" s="325"/>
      <c r="AH6" s="325"/>
      <c r="AI6" s="325"/>
      <c r="AJ6" s="325"/>
      <c r="AK6" s="325"/>
      <c r="AL6" s="325"/>
      <c r="AM6" s="325"/>
      <c r="AN6" s="325"/>
      <c r="AO6" s="325"/>
      <c r="BJ6" s="81"/>
      <c r="BK6" s="81"/>
      <c r="BL6" s="81"/>
      <c r="BM6" s="81"/>
      <c r="BN6" s="81"/>
      <c r="BO6" s="81"/>
      <c r="BP6" s="81"/>
      <c r="BQ6" s="81"/>
      <c r="BR6" s="81"/>
      <c r="BS6" s="81"/>
      <c r="BT6" s="81"/>
      <c r="BU6" s="81"/>
    </row>
    <row r="7" spans="2:73" ht="30" customHeight="1">
      <c r="B7" s="217" t="s">
        <v>1862</v>
      </c>
      <c r="C7" s="217"/>
      <c r="D7" s="217"/>
      <c r="E7" s="217"/>
      <c r="F7" s="217"/>
      <c r="G7" s="217"/>
      <c r="H7" s="217"/>
      <c r="I7" s="217"/>
      <c r="J7" s="217"/>
      <c r="K7" s="217"/>
      <c r="L7" s="217"/>
      <c r="M7" s="217"/>
      <c r="N7" s="217"/>
      <c r="O7" s="217"/>
      <c r="P7" s="217"/>
      <c r="Q7" s="217"/>
      <c r="R7" s="217"/>
      <c r="S7" s="217"/>
      <c r="T7" s="217"/>
      <c r="U7" s="217"/>
      <c r="V7" s="217"/>
      <c r="W7" s="217"/>
      <c r="X7" s="217"/>
      <c r="Y7" s="217"/>
      <c r="Z7" s="217"/>
      <c r="AA7" s="217"/>
      <c r="AB7" s="217"/>
      <c r="AC7" s="217"/>
      <c r="AD7" s="217"/>
      <c r="AE7" s="217"/>
      <c r="AF7" s="217"/>
      <c r="AG7" s="217"/>
      <c r="AH7" s="217"/>
      <c r="AI7" s="217"/>
      <c r="AJ7" s="217"/>
      <c r="AK7" s="217"/>
      <c r="AL7" s="217"/>
      <c r="AM7" s="217"/>
      <c r="AN7" s="217"/>
      <c r="AO7" s="217"/>
      <c r="BJ7" s="81"/>
      <c r="BK7" s="81"/>
      <c r="BL7" s="81"/>
      <c r="BM7" s="93" t="s">
        <v>8</v>
      </c>
      <c r="BN7" s="93" t="s">
        <v>38</v>
      </c>
      <c r="BO7" s="93" t="s">
        <v>129</v>
      </c>
      <c r="BP7" s="93"/>
      <c r="BQ7" s="93"/>
      <c r="BR7" s="81"/>
      <c r="BS7" s="81"/>
      <c r="BT7" s="81"/>
      <c r="BU7" s="81"/>
    </row>
    <row r="8" spans="2:73" ht="20.25">
      <c r="BJ8" s="81"/>
      <c r="BK8" s="81"/>
      <c r="BL8" s="81"/>
      <c r="BM8" s="93" t="s">
        <v>9</v>
      </c>
      <c r="BN8" s="93" t="s">
        <v>39</v>
      </c>
      <c r="BO8" s="93" t="s">
        <v>130</v>
      </c>
      <c r="BP8" s="93"/>
      <c r="BQ8" s="93"/>
      <c r="BR8" s="81"/>
      <c r="BS8" s="81"/>
      <c r="BT8" s="81"/>
      <c r="BU8" s="81"/>
    </row>
    <row r="9" spans="2:73" ht="37.5" customHeight="1">
      <c r="B9" s="375" t="s">
        <v>0</v>
      </c>
      <c r="C9" s="375"/>
      <c r="D9" s="375"/>
      <c r="E9" s="375"/>
      <c r="F9" s="375"/>
      <c r="G9" s="375"/>
      <c r="H9" s="375"/>
      <c r="I9" s="375"/>
      <c r="J9" s="375"/>
      <c r="K9" s="375"/>
      <c r="L9" s="375"/>
      <c r="M9" s="375"/>
      <c r="N9" s="375"/>
      <c r="O9" s="375"/>
      <c r="P9" s="375"/>
      <c r="Q9" s="375"/>
      <c r="T9" s="375" t="s">
        <v>1</v>
      </c>
      <c r="U9" s="375"/>
      <c r="V9" s="375"/>
      <c r="W9" s="375"/>
      <c r="X9" s="375"/>
      <c r="Y9" s="375"/>
      <c r="Z9" s="375"/>
      <c r="AA9" s="53"/>
      <c r="AB9" s="53"/>
      <c r="AC9" s="375" t="s">
        <v>2</v>
      </c>
      <c r="AD9" s="375"/>
      <c r="AE9" s="375"/>
      <c r="AF9" s="375"/>
      <c r="AG9" s="375"/>
      <c r="AH9" s="375"/>
      <c r="AI9" s="375"/>
      <c r="AJ9" s="375"/>
      <c r="AK9" s="375"/>
      <c r="AL9" s="375"/>
      <c r="AM9" s="375"/>
      <c r="AN9" s="375"/>
      <c r="AO9" s="375"/>
      <c r="BJ9" s="81"/>
      <c r="BK9" s="81"/>
      <c r="BL9" s="81"/>
      <c r="BM9" s="93"/>
      <c r="BN9" s="93"/>
      <c r="BO9" s="93"/>
      <c r="BP9" s="93"/>
      <c r="BQ9" s="93"/>
      <c r="BR9" s="81"/>
      <c r="BS9" s="81"/>
      <c r="BT9" s="81"/>
      <c r="BU9" s="81"/>
    </row>
    <row r="10" spans="2:73" ht="20.25">
      <c r="B10" s="325"/>
      <c r="C10" s="325"/>
      <c r="D10" s="325"/>
      <c r="E10" s="325"/>
      <c r="F10" s="325"/>
      <c r="G10" s="325"/>
      <c r="H10" s="325"/>
      <c r="I10" s="325"/>
      <c r="J10" s="325"/>
      <c r="K10" s="325"/>
      <c r="L10" s="325"/>
      <c r="M10" s="325"/>
      <c r="N10" s="325"/>
      <c r="O10" s="325"/>
      <c r="P10" s="325"/>
      <c r="Q10" s="325"/>
      <c r="T10" s="379"/>
      <c r="U10" s="379"/>
      <c r="V10" s="379"/>
      <c r="W10" s="379"/>
      <c r="X10" s="379"/>
      <c r="Y10" s="379"/>
      <c r="Z10" s="379"/>
      <c r="AC10" s="384"/>
      <c r="AD10" s="384"/>
      <c r="AE10" s="384"/>
      <c r="AF10" s="384"/>
      <c r="AG10" s="384"/>
      <c r="AH10" s="384"/>
      <c r="AI10" s="384"/>
      <c r="AJ10" s="384"/>
      <c r="AK10" s="384"/>
      <c r="AL10" s="384"/>
      <c r="AM10" s="384"/>
      <c r="AN10" s="384"/>
      <c r="AO10" s="384"/>
      <c r="BJ10" s="81"/>
      <c r="BK10" s="81"/>
      <c r="BL10" s="81"/>
      <c r="BM10" s="93"/>
      <c r="BN10" s="93"/>
      <c r="BO10" s="93"/>
      <c r="BP10" s="93"/>
      <c r="BQ10" s="93"/>
      <c r="BR10" s="81"/>
      <c r="BS10" s="81"/>
      <c r="BT10" s="81"/>
      <c r="BU10" s="81"/>
    </row>
    <row r="11" spans="2:73" ht="20.25">
      <c r="B11" s="376"/>
      <c r="C11" s="376"/>
      <c r="D11" s="376"/>
      <c r="E11" s="376"/>
      <c r="F11" s="376"/>
      <c r="G11" s="376"/>
      <c r="H11" s="376"/>
      <c r="I11" s="376"/>
      <c r="J11" s="376"/>
      <c r="K11" s="376"/>
      <c r="L11" s="376"/>
      <c r="M11" s="376"/>
      <c r="N11" s="376"/>
      <c r="O11" s="376"/>
      <c r="P11" s="376"/>
      <c r="Q11" s="376"/>
      <c r="T11" s="380"/>
      <c r="U11" s="380"/>
      <c r="V11" s="380"/>
      <c r="W11" s="380"/>
      <c r="X11" s="380"/>
      <c r="Y11" s="380"/>
      <c r="Z11" s="380"/>
      <c r="AC11" s="385"/>
      <c r="AD11" s="385"/>
      <c r="AE11" s="385"/>
      <c r="AF11" s="385"/>
      <c r="AG11" s="385"/>
      <c r="AH11" s="385"/>
      <c r="AI11" s="385"/>
      <c r="AJ11" s="385"/>
      <c r="AK11" s="385"/>
      <c r="AL11" s="385"/>
      <c r="AM11" s="385"/>
      <c r="AN11" s="385"/>
      <c r="AO11" s="385"/>
      <c r="BC11" s="52" t="s">
        <v>1418</v>
      </c>
      <c r="BJ11" s="81"/>
      <c r="BK11" s="81"/>
      <c r="BL11" s="81"/>
      <c r="BM11" s="93" t="s">
        <v>1317</v>
      </c>
      <c r="BN11" s="93"/>
      <c r="BO11" s="93"/>
      <c r="BP11" s="93"/>
      <c r="BQ11" s="99" t="s">
        <v>1359</v>
      </c>
      <c r="BR11" s="81"/>
      <c r="BS11" s="81"/>
      <c r="BT11" s="81"/>
      <c r="BU11" s="81"/>
    </row>
    <row r="12" spans="2:73" ht="20.25">
      <c r="BJ12" s="81"/>
      <c r="BK12" s="81"/>
      <c r="BL12" s="81"/>
      <c r="BM12" s="93" t="s">
        <v>1318</v>
      </c>
      <c r="BN12" s="93"/>
      <c r="BO12" s="93"/>
      <c r="BP12" s="93"/>
      <c r="BQ12" s="99" t="s">
        <v>1360</v>
      </c>
      <c r="BR12" s="81"/>
      <c r="BS12" s="81"/>
      <c r="BT12" s="81"/>
      <c r="BU12" s="81"/>
    </row>
    <row r="13" spans="2:73" ht="20.25">
      <c r="B13" s="375" t="s">
        <v>3</v>
      </c>
      <c r="C13" s="375"/>
      <c r="D13" s="375"/>
      <c r="E13" s="375"/>
      <c r="F13" s="375"/>
      <c r="G13" s="375"/>
      <c r="H13" s="375"/>
      <c r="I13" s="375"/>
      <c r="J13" s="375"/>
      <c r="K13" s="375"/>
      <c r="L13" s="375"/>
      <c r="M13" s="375"/>
      <c r="N13" s="375"/>
      <c r="O13" s="375"/>
      <c r="P13" s="375"/>
      <c r="Q13" s="375"/>
      <c r="T13" s="375" t="s">
        <v>4</v>
      </c>
      <c r="U13" s="375"/>
      <c r="V13" s="375"/>
      <c r="W13" s="375"/>
      <c r="X13" s="375"/>
      <c r="Y13" s="375"/>
      <c r="Z13" s="375"/>
      <c r="AC13" s="375" t="s">
        <v>5</v>
      </c>
      <c r="AD13" s="375"/>
      <c r="AE13" s="375"/>
      <c r="AF13" s="375"/>
      <c r="AG13" s="375"/>
      <c r="AH13" s="375"/>
      <c r="AI13" s="375"/>
      <c r="AJ13" s="375"/>
      <c r="AK13" s="375"/>
      <c r="AL13" s="375"/>
      <c r="AM13" s="375"/>
      <c r="AN13" s="375"/>
      <c r="AO13" s="375"/>
      <c r="BJ13" s="81"/>
      <c r="BK13" s="81"/>
      <c r="BL13" s="81"/>
      <c r="BM13" s="93" t="s">
        <v>74</v>
      </c>
      <c r="BN13" s="93"/>
      <c r="BO13" s="93"/>
      <c r="BP13" s="93"/>
      <c r="BQ13" s="99" t="s">
        <v>1361</v>
      </c>
      <c r="BR13" s="81"/>
      <c r="BS13" s="81"/>
      <c r="BT13" s="81"/>
      <c r="BU13" s="81"/>
    </row>
    <row r="14" spans="2:73" ht="20.25">
      <c r="B14" s="325"/>
      <c r="C14" s="325"/>
      <c r="D14" s="325"/>
      <c r="E14" s="325"/>
      <c r="F14" s="325"/>
      <c r="G14" s="325"/>
      <c r="H14" s="325"/>
      <c r="I14" s="325"/>
      <c r="J14" s="325"/>
      <c r="K14" s="325"/>
      <c r="L14" s="325"/>
      <c r="M14" s="325"/>
      <c r="N14" s="325"/>
      <c r="O14" s="325"/>
      <c r="P14" s="325"/>
      <c r="Q14" s="325"/>
      <c r="T14" s="379"/>
      <c r="U14" s="379"/>
      <c r="V14" s="379"/>
      <c r="W14" s="379"/>
      <c r="X14" s="379"/>
      <c r="Y14" s="379"/>
      <c r="Z14" s="379"/>
      <c r="AC14" s="325"/>
      <c r="AD14" s="325"/>
      <c r="AE14" s="325"/>
      <c r="AF14" s="325"/>
      <c r="AG14" s="325"/>
      <c r="AH14" s="325"/>
      <c r="AI14" s="325"/>
      <c r="AJ14" s="325"/>
      <c r="AK14" s="325"/>
      <c r="AL14" s="325"/>
      <c r="AM14" s="325"/>
      <c r="AN14" s="325"/>
      <c r="AO14" s="325"/>
      <c r="BJ14" s="81"/>
      <c r="BK14" s="81"/>
      <c r="BL14" s="81"/>
      <c r="BM14" s="93"/>
      <c r="BN14" s="93"/>
      <c r="BO14" s="93"/>
      <c r="BP14" s="93"/>
      <c r="BQ14" s="99" t="s">
        <v>1362</v>
      </c>
      <c r="BR14" s="81"/>
      <c r="BS14" s="81"/>
      <c r="BT14" s="81"/>
      <c r="BU14" s="81"/>
    </row>
    <row r="15" spans="2:73" ht="20.25">
      <c r="B15" s="376"/>
      <c r="C15" s="376"/>
      <c r="D15" s="376"/>
      <c r="E15" s="376"/>
      <c r="F15" s="376"/>
      <c r="G15" s="376"/>
      <c r="H15" s="376"/>
      <c r="I15" s="376"/>
      <c r="J15" s="376"/>
      <c r="K15" s="376"/>
      <c r="L15" s="376"/>
      <c r="M15" s="376"/>
      <c r="N15" s="376"/>
      <c r="O15" s="376"/>
      <c r="P15" s="376"/>
      <c r="Q15" s="376"/>
      <c r="T15" s="380"/>
      <c r="U15" s="380"/>
      <c r="V15" s="380"/>
      <c r="W15" s="380"/>
      <c r="X15" s="380"/>
      <c r="Y15" s="380"/>
      <c r="Z15" s="380"/>
      <c r="AC15" s="376"/>
      <c r="AD15" s="376"/>
      <c r="AE15" s="376"/>
      <c r="AF15" s="376"/>
      <c r="AG15" s="376"/>
      <c r="AH15" s="376"/>
      <c r="AI15" s="376"/>
      <c r="AJ15" s="376"/>
      <c r="AK15" s="376"/>
      <c r="AL15" s="376"/>
      <c r="AM15" s="376"/>
      <c r="AN15" s="376"/>
      <c r="AO15" s="376"/>
      <c r="BJ15" s="81"/>
      <c r="BK15" s="81"/>
      <c r="BL15" s="81"/>
      <c r="BM15" s="93" t="s">
        <v>1325</v>
      </c>
      <c r="BN15" s="93"/>
      <c r="BO15" s="93"/>
      <c r="BP15" s="93"/>
      <c r="BQ15" s="99" t="s">
        <v>1363</v>
      </c>
      <c r="BR15" s="81"/>
      <c r="BS15" s="81"/>
      <c r="BT15" s="81"/>
      <c r="BU15" s="81"/>
    </row>
    <row r="16" spans="2:73" ht="20.25">
      <c r="BJ16" s="81"/>
      <c r="BK16" s="81"/>
      <c r="BL16" s="81"/>
      <c r="BM16" s="93" t="s">
        <v>1326</v>
      </c>
      <c r="BN16" s="93"/>
      <c r="BO16" s="93"/>
      <c r="BP16" s="93"/>
      <c r="BQ16" s="99" t="s">
        <v>1364</v>
      </c>
      <c r="BR16" s="81"/>
      <c r="BS16" s="81"/>
      <c r="BT16" s="81"/>
      <c r="BU16" s="81"/>
    </row>
    <row r="17" spans="1:73" ht="20.45" customHeight="1">
      <c r="B17" s="458" t="s">
        <v>1895</v>
      </c>
      <c r="C17" s="458"/>
      <c r="D17" s="458"/>
      <c r="E17" s="458"/>
      <c r="F17" s="458"/>
      <c r="G17" s="458"/>
      <c r="H17" s="458"/>
      <c r="I17" s="458"/>
      <c r="J17" s="458"/>
      <c r="L17" s="375" t="s">
        <v>1206</v>
      </c>
      <c r="M17" s="375"/>
      <c r="N17" s="375"/>
      <c r="O17" s="375"/>
      <c r="P17" s="375"/>
      <c r="Q17" s="375"/>
      <c r="R17" s="375"/>
      <c r="S17" s="375"/>
      <c r="T17" s="375"/>
      <c r="U17" s="375"/>
      <c r="V17" s="375"/>
      <c r="W17" s="375"/>
      <c r="X17" s="375"/>
      <c r="Z17" s="375" t="s">
        <v>1207</v>
      </c>
      <c r="AA17" s="375"/>
      <c r="AB17" s="375"/>
      <c r="AC17" s="375"/>
      <c r="AD17" s="375"/>
      <c r="AE17" s="375"/>
      <c r="AF17" s="375"/>
      <c r="AG17" s="375"/>
      <c r="AH17" s="375"/>
      <c r="AI17" s="375"/>
      <c r="AJ17" s="375"/>
      <c r="AK17" s="375"/>
      <c r="AL17" s="375"/>
      <c r="AM17" s="375"/>
      <c r="AN17" s="375"/>
      <c r="AO17" s="375"/>
      <c r="BJ17" s="81"/>
      <c r="BK17" s="81"/>
      <c r="BL17" s="81"/>
      <c r="BM17" s="93"/>
      <c r="BN17" s="93"/>
      <c r="BO17" s="93"/>
      <c r="BP17" s="93"/>
      <c r="BQ17" s="99"/>
      <c r="BR17" s="81"/>
      <c r="BS17" s="81"/>
      <c r="BT17" s="81"/>
      <c r="BU17" s="81"/>
    </row>
    <row r="18" spans="1:73" ht="20.45" customHeight="1">
      <c r="B18" s="398"/>
      <c r="C18" s="398"/>
      <c r="D18" s="398"/>
      <c r="E18" s="398"/>
      <c r="F18" s="398"/>
      <c r="G18" s="398"/>
      <c r="H18" s="398"/>
      <c r="I18" s="398"/>
      <c r="J18" s="398"/>
      <c r="L18" s="398"/>
      <c r="M18" s="398"/>
      <c r="N18" s="398"/>
      <c r="O18" s="398"/>
      <c r="P18" s="398"/>
      <c r="Q18" s="398"/>
      <c r="R18" s="398"/>
      <c r="S18" s="398"/>
      <c r="T18" s="398"/>
      <c r="U18" s="398"/>
      <c r="V18" s="398"/>
      <c r="W18" s="398"/>
      <c r="X18" s="398"/>
      <c r="Z18" s="398"/>
      <c r="AA18" s="398"/>
      <c r="AB18" s="398"/>
      <c r="AC18" s="398"/>
      <c r="AD18" s="398"/>
      <c r="AE18" s="398"/>
      <c r="AF18" s="398"/>
      <c r="AG18" s="398"/>
      <c r="AH18" s="398"/>
      <c r="AI18" s="398"/>
      <c r="AJ18" s="398"/>
      <c r="AK18" s="398"/>
      <c r="AL18" s="398"/>
      <c r="AM18" s="398"/>
      <c r="AN18" s="398"/>
      <c r="AO18" s="398"/>
      <c r="BJ18" s="81"/>
      <c r="BK18" s="81"/>
      <c r="BL18" s="81"/>
      <c r="BM18" s="93"/>
      <c r="BN18" s="93"/>
      <c r="BO18" s="93"/>
      <c r="BP18" s="93"/>
      <c r="BQ18" s="99"/>
      <c r="BR18" s="81"/>
      <c r="BS18" s="81"/>
      <c r="BT18" s="81"/>
      <c r="BU18" s="81"/>
    </row>
    <row r="19" spans="1:73" ht="20.25">
      <c r="B19" s="459"/>
      <c r="C19" s="459"/>
      <c r="D19" s="459"/>
      <c r="E19" s="459"/>
      <c r="F19" s="459"/>
      <c r="G19" s="459"/>
      <c r="H19" s="459"/>
      <c r="I19" s="459"/>
      <c r="J19" s="459"/>
      <c r="L19" s="459"/>
      <c r="M19" s="459"/>
      <c r="N19" s="459"/>
      <c r="O19" s="459"/>
      <c r="P19" s="459"/>
      <c r="Q19" s="459"/>
      <c r="R19" s="459"/>
      <c r="S19" s="459"/>
      <c r="T19" s="459"/>
      <c r="U19" s="459"/>
      <c r="V19" s="459"/>
      <c r="W19" s="459"/>
      <c r="X19" s="459"/>
      <c r="Z19" s="459"/>
      <c r="AA19" s="459"/>
      <c r="AB19" s="459"/>
      <c r="AC19" s="459"/>
      <c r="AD19" s="459"/>
      <c r="AE19" s="459"/>
      <c r="AF19" s="459"/>
      <c r="AG19" s="459"/>
      <c r="AH19" s="459"/>
      <c r="AI19" s="459"/>
      <c r="AJ19" s="459"/>
      <c r="AK19" s="459"/>
      <c r="AL19" s="459"/>
      <c r="AM19" s="459"/>
      <c r="AN19" s="459"/>
      <c r="AO19" s="459"/>
      <c r="BJ19" s="81"/>
      <c r="BK19" s="81"/>
      <c r="BL19" s="81"/>
      <c r="BM19" s="93"/>
      <c r="BN19" s="93"/>
      <c r="BO19" s="93"/>
      <c r="BP19" s="93"/>
      <c r="BQ19" s="99"/>
      <c r="BR19" s="81"/>
      <c r="BS19" s="81"/>
      <c r="BT19" s="81"/>
      <c r="BU19" s="81"/>
    </row>
    <row r="20" spans="1:73" ht="20.25">
      <c r="BJ20" s="81"/>
      <c r="BK20" s="81"/>
      <c r="BL20" s="81"/>
      <c r="BM20" s="93"/>
      <c r="BN20" s="93"/>
      <c r="BO20" s="93"/>
      <c r="BP20" s="93"/>
      <c r="BQ20" s="99"/>
      <c r="BR20" s="81"/>
      <c r="BS20" s="81"/>
      <c r="BT20" s="81"/>
      <c r="BU20" s="81"/>
    </row>
    <row r="21" spans="1:73" ht="30.75" customHeight="1">
      <c r="B21" s="375" t="s">
        <v>7</v>
      </c>
      <c r="C21" s="375"/>
      <c r="D21" s="375"/>
      <c r="E21" s="375"/>
      <c r="F21" s="375"/>
      <c r="G21" s="375"/>
      <c r="H21" s="375"/>
      <c r="I21" s="375"/>
      <c r="J21" s="375"/>
      <c r="K21" s="375"/>
      <c r="L21" s="375"/>
      <c r="M21" s="375"/>
      <c r="N21" s="375"/>
      <c r="O21" s="375"/>
      <c r="P21" s="375"/>
      <c r="Q21" s="375"/>
      <c r="R21" s="376"/>
      <c r="S21" s="376"/>
      <c r="T21" s="376"/>
      <c r="U21" s="375" t="s">
        <v>6</v>
      </c>
      <c r="V21" s="375"/>
      <c r="W21" s="375"/>
      <c r="X21" s="375"/>
      <c r="Y21" s="375"/>
      <c r="Z21" s="375"/>
      <c r="AA21" s="375"/>
      <c r="AB21" s="375"/>
      <c r="AC21" s="375"/>
      <c r="AD21" s="375"/>
      <c r="AE21" s="375"/>
      <c r="AF21" s="375"/>
      <c r="AG21" s="375"/>
      <c r="AH21" s="375"/>
      <c r="AI21" s="375"/>
      <c r="AJ21" s="375"/>
      <c r="AK21" s="375"/>
      <c r="AL21" s="375"/>
      <c r="AM21" s="375"/>
      <c r="AN21" s="376"/>
      <c r="AO21" s="376"/>
      <c r="AP21" s="376"/>
      <c r="AV21" s="81" t="s">
        <v>8</v>
      </c>
      <c r="BJ21" s="81"/>
      <c r="BK21" s="81"/>
      <c r="BL21" s="81"/>
      <c r="BM21" s="93"/>
      <c r="BN21" s="93"/>
      <c r="BO21" s="93"/>
      <c r="BP21" s="93"/>
      <c r="BQ21" s="99" t="s">
        <v>1369</v>
      </c>
      <c r="BR21" s="81"/>
      <c r="BS21" s="81"/>
      <c r="BT21" s="81"/>
      <c r="BU21" s="81"/>
    </row>
    <row r="22" spans="1:73" ht="20.25">
      <c r="AV22" s="81" t="s">
        <v>9</v>
      </c>
      <c r="BJ22" s="81"/>
      <c r="BK22" s="81"/>
      <c r="BL22" s="81"/>
      <c r="BM22" s="93" t="s">
        <v>1357</v>
      </c>
      <c r="BN22" s="93"/>
      <c r="BO22" s="93"/>
      <c r="BP22" s="93"/>
      <c r="BQ22" s="99" t="s">
        <v>1370</v>
      </c>
      <c r="BR22" s="81"/>
      <c r="BS22" s="81"/>
      <c r="BT22" s="81"/>
      <c r="BU22" s="81"/>
    </row>
    <row r="23" spans="1:73" ht="33.75" customHeight="1">
      <c r="B23" s="375" t="s">
        <v>1442</v>
      </c>
      <c r="C23" s="375"/>
      <c r="D23" s="375"/>
      <c r="E23" s="375"/>
      <c r="F23" s="375"/>
      <c r="G23" s="375"/>
      <c r="H23" s="375"/>
      <c r="I23" s="375"/>
      <c r="J23" s="375"/>
      <c r="K23" s="375"/>
      <c r="L23" s="375"/>
      <c r="M23" s="375"/>
      <c r="N23" s="375"/>
      <c r="O23" s="375"/>
      <c r="P23" s="375"/>
      <c r="Q23" s="375"/>
      <c r="R23" s="376"/>
      <c r="S23" s="376"/>
      <c r="T23" s="376"/>
      <c r="BJ23" s="81"/>
      <c r="BK23" s="81"/>
      <c r="BL23" s="81"/>
      <c r="BM23" s="93" t="s">
        <v>1358</v>
      </c>
      <c r="BN23" s="93"/>
      <c r="BO23" s="93"/>
      <c r="BP23" s="93"/>
      <c r="BQ23" s="99" t="s">
        <v>1371</v>
      </c>
      <c r="BR23" s="81"/>
      <c r="BS23" s="81"/>
      <c r="BT23" s="81"/>
      <c r="BU23" s="81"/>
    </row>
    <row r="24" spans="1:73" ht="20.25">
      <c r="BJ24" s="81"/>
      <c r="BK24" s="81"/>
      <c r="BL24" s="81"/>
      <c r="BM24" s="93" t="s">
        <v>1354</v>
      </c>
      <c r="BN24" s="93"/>
      <c r="BO24" s="93"/>
      <c r="BP24" s="93"/>
      <c r="BQ24" s="99" t="s">
        <v>1372</v>
      </c>
      <c r="BR24" s="81"/>
      <c r="BS24" s="81"/>
      <c r="BT24" s="81"/>
      <c r="BU24" s="81"/>
    </row>
    <row r="25" spans="1:73" ht="269.45" customHeight="1">
      <c r="A25" s="377" t="s">
        <v>1878</v>
      </c>
      <c r="B25" s="377"/>
      <c r="C25" s="377"/>
      <c r="D25" s="377"/>
      <c r="E25" s="377"/>
      <c r="F25" s="377"/>
      <c r="G25" s="377"/>
      <c r="H25" s="377"/>
      <c r="I25" s="377"/>
      <c r="J25" s="377"/>
      <c r="K25" s="377"/>
      <c r="L25" s="377"/>
      <c r="M25" s="377"/>
      <c r="N25" s="377"/>
      <c r="O25" s="377"/>
      <c r="P25" s="377"/>
      <c r="Q25" s="377"/>
      <c r="R25" s="377"/>
      <c r="S25" s="377"/>
      <c r="T25" s="377"/>
      <c r="U25" s="377"/>
      <c r="V25" s="377"/>
      <c r="W25" s="377"/>
      <c r="X25" s="377"/>
      <c r="Y25" s="377"/>
      <c r="Z25" s="377"/>
      <c r="AA25" s="377"/>
      <c r="AB25" s="377"/>
      <c r="AC25" s="377"/>
      <c r="AD25" s="377"/>
      <c r="AE25" s="377"/>
      <c r="AF25" s="377"/>
      <c r="AG25" s="377"/>
      <c r="AH25" s="377"/>
      <c r="AI25" s="80"/>
      <c r="AJ25" s="80"/>
      <c r="AK25" s="80"/>
      <c r="AL25" s="80"/>
      <c r="AM25" s="80"/>
      <c r="AN25" s="80"/>
      <c r="AO25" s="80"/>
      <c r="AP25" s="80"/>
      <c r="AQ25" s="80"/>
      <c r="AR25" s="80"/>
      <c r="BJ25" s="81"/>
      <c r="BK25" s="81"/>
      <c r="BL25" s="81"/>
      <c r="BM25" s="93" t="s">
        <v>1356</v>
      </c>
      <c r="BN25" s="93"/>
      <c r="BO25" s="93"/>
      <c r="BP25" s="93"/>
      <c r="BQ25" s="99" t="s">
        <v>1373</v>
      </c>
      <c r="BR25" s="81"/>
      <c r="BS25" s="81"/>
      <c r="BT25" s="81"/>
      <c r="BU25" s="81"/>
    </row>
    <row r="26" spans="1:73" s="56" customFormat="1" ht="31.5" customHeight="1">
      <c r="A26" s="262" t="s">
        <v>1879</v>
      </c>
      <c r="B26" s="262"/>
      <c r="C26" s="262"/>
      <c r="D26" s="262"/>
      <c r="E26" s="262"/>
      <c r="F26" s="262"/>
      <c r="G26" s="262"/>
      <c r="H26" s="262"/>
      <c r="I26" s="262"/>
      <c r="J26" s="262"/>
      <c r="K26" s="262"/>
      <c r="L26" s="262"/>
      <c r="M26" s="262"/>
      <c r="N26" s="262"/>
      <c r="O26" s="262"/>
      <c r="P26" s="262"/>
      <c r="Q26" s="262"/>
      <c r="R26" s="262"/>
      <c r="S26" s="262"/>
      <c r="T26" s="262"/>
      <c r="U26" s="262"/>
      <c r="V26" s="262"/>
      <c r="W26" s="262"/>
      <c r="X26" s="262"/>
      <c r="Y26" s="262"/>
      <c r="Z26" s="262"/>
      <c r="AA26" s="262"/>
      <c r="AB26" s="262"/>
      <c r="AC26" s="262"/>
      <c r="AD26" s="262"/>
      <c r="AE26" s="262"/>
      <c r="AF26" s="262"/>
      <c r="AG26" s="262"/>
      <c r="AH26" s="262"/>
      <c r="AI26" s="262"/>
      <c r="AJ26" s="262"/>
      <c r="AK26" s="262"/>
      <c r="AL26" s="262"/>
      <c r="AM26" s="262"/>
      <c r="AN26" s="262"/>
      <c r="AO26" s="262"/>
      <c r="AP26" s="262"/>
      <c r="BJ26" s="100"/>
      <c r="BK26" s="100"/>
      <c r="BL26" s="100"/>
      <c r="BM26" s="93" t="s">
        <v>1355</v>
      </c>
      <c r="BN26" s="93"/>
      <c r="BO26" s="93"/>
      <c r="BP26" s="93"/>
      <c r="BQ26" s="99" t="s">
        <v>1374</v>
      </c>
      <c r="BR26" s="100"/>
      <c r="BS26" s="100"/>
      <c r="BT26" s="100"/>
      <c r="BU26" s="100"/>
    </row>
    <row r="27" spans="1:73" s="56" customFormat="1" ht="31.5" customHeight="1">
      <c r="A27" s="262"/>
      <c r="B27" s="262"/>
      <c r="C27" s="262"/>
      <c r="D27" s="262"/>
      <c r="E27" s="262"/>
      <c r="F27" s="262"/>
      <c r="G27" s="262"/>
      <c r="H27" s="262"/>
      <c r="I27" s="262"/>
      <c r="J27" s="262"/>
      <c r="K27" s="262"/>
      <c r="L27" s="262"/>
      <c r="M27" s="262"/>
      <c r="N27" s="262"/>
      <c r="O27" s="262"/>
      <c r="P27" s="262"/>
      <c r="Q27" s="262"/>
      <c r="R27" s="262"/>
      <c r="S27" s="262"/>
      <c r="T27" s="262"/>
      <c r="U27" s="262"/>
      <c r="V27" s="262"/>
      <c r="W27" s="262"/>
      <c r="X27" s="262"/>
      <c r="Y27" s="262"/>
      <c r="Z27" s="262"/>
      <c r="AA27" s="262"/>
      <c r="AB27" s="262"/>
      <c r="AC27" s="262"/>
      <c r="AD27" s="262"/>
      <c r="AE27" s="262"/>
      <c r="AF27" s="262"/>
      <c r="AG27" s="262"/>
      <c r="AH27" s="262"/>
      <c r="AI27" s="262"/>
      <c r="AJ27" s="262"/>
      <c r="AK27" s="262"/>
      <c r="AL27" s="262"/>
      <c r="AM27" s="262"/>
      <c r="AN27" s="262"/>
      <c r="AO27" s="262"/>
      <c r="AP27" s="262"/>
      <c r="BJ27" s="100"/>
      <c r="BK27" s="100"/>
      <c r="BL27" s="100"/>
      <c r="BM27" s="93"/>
      <c r="BN27" s="93"/>
      <c r="BO27" s="93"/>
      <c r="BP27" s="93"/>
      <c r="BQ27" s="99" t="s">
        <v>1375</v>
      </c>
      <c r="BR27" s="100"/>
      <c r="BS27" s="100"/>
      <c r="BT27" s="100"/>
      <c r="BU27" s="100"/>
    </row>
    <row r="28" spans="1:73" s="56" customFormat="1" ht="31.5" customHeight="1">
      <c r="A28" s="262"/>
      <c r="B28" s="262"/>
      <c r="C28" s="262"/>
      <c r="D28" s="262"/>
      <c r="E28" s="262"/>
      <c r="F28" s="262"/>
      <c r="G28" s="262"/>
      <c r="H28" s="262"/>
      <c r="I28" s="262"/>
      <c r="J28" s="262"/>
      <c r="K28" s="262"/>
      <c r="L28" s="262"/>
      <c r="M28" s="262"/>
      <c r="N28" s="262"/>
      <c r="O28" s="262"/>
      <c r="P28" s="262"/>
      <c r="Q28" s="262"/>
      <c r="R28" s="262"/>
      <c r="S28" s="262"/>
      <c r="T28" s="262"/>
      <c r="U28" s="262"/>
      <c r="V28" s="262"/>
      <c r="W28" s="262"/>
      <c r="X28" s="262"/>
      <c r="Y28" s="262"/>
      <c r="Z28" s="262"/>
      <c r="AA28" s="262"/>
      <c r="AB28" s="262"/>
      <c r="AC28" s="262"/>
      <c r="AD28" s="262"/>
      <c r="AE28" s="262"/>
      <c r="AF28" s="262"/>
      <c r="AG28" s="262"/>
      <c r="AH28" s="262"/>
      <c r="AI28" s="262"/>
      <c r="AJ28" s="262"/>
      <c r="AK28" s="262"/>
      <c r="AL28" s="262"/>
      <c r="AM28" s="262"/>
      <c r="AN28" s="262"/>
      <c r="AO28" s="262"/>
      <c r="AP28" s="262"/>
      <c r="BJ28" s="100"/>
      <c r="BK28" s="100"/>
      <c r="BL28" s="100"/>
      <c r="BM28" s="93">
        <v>1</v>
      </c>
      <c r="BN28" s="93"/>
      <c r="BO28" s="93"/>
      <c r="BP28" s="93"/>
      <c r="BQ28" s="99" t="s">
        <v>1376</v>
      </c>
      <c r="BR28" s="100"/>
      <c r="BS28" s="100"/>
      <c r="BT28" s="100"/>
      <c r="BU28" s="100"/>
    </row>
    <row r="29" spans="1:73" s="56" customFormat="1" ht="31.5" customHeight="1">
      <c r="A29" s="72"/>
      <c r="B29" s="72"/>
      <c r="C29" s="72"/>
      <c r="D29" s="72"/>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c r="AE29" s="72"/>
      <c r="AF29" s="72"/>
      <c r="AG29" s="72"/>
      <c r="AH29" s="72"/>
      <c r="AI29" s="72"/>
      <c r="AJ29" s="72"/>
      <c r="AK29" s="72"/>
      <c r="AL29" s="72"/>
      <c r="AM29" s="72"/>
      <c r="AN29" s="72"/>
      <c r="AO29" s="72"/>
      <c r="AP29" s="72"/>
      <c r="BJ29" s="100"/>
      <c r="BK29" s="100"/>
      <c r="BL29" s="100"/>
      <c r="BM29" s="93">
        <v>2</v>
      </c>
      <c r="BN29" s="93"/>
      <c r="BO29" s="93"/>
      <c r="BP29" s="93"/>
      <c r="BQ29" s="99" t="s">
        <v>1377</v>
      </c>
      <c r="BR29" s="100"/>
      <c r="BS29" s="100"/>
      <c r="BT29" s="100"/>
      <c r="BU29" s="100"/>
    </row>
    <row r="30" spans="1:73" ht="20.25">
      <c r="BJ30" s="81"/>
      <c r="BK30" s="81"/>
      <c r="BL30" s="81"/>
      <c r="BM30" s="93">
        <v>3</v>
      </c>
      <c r="BN30" s="93"/>
      <c r="BO30" s="93"/>
      <c r="BP30" s="93"/>
      <c r="BQ30" s="99" t="s">
        <v>1378</v>
      </c>
      <c r="BR30" s="81"/>
      <c r="BS30" s="81"/>
      <c r="BT30" s="81"/>
      <c r="BU30" s="81"/>
    </row>
    <row r="31" spans="1:73" ht="20.25">
      <c r="BJ31" s="81"/>
      <c r="BK31" s="81"/>
      <c r="BL31" s="81"/>
      <c r="BM31" s="93">
        <v>4</v>
      </c>
      <c r="BN31" s="93"/>
      <c r="BO31" s="93"/>
      <c r="BP31" s="93"/>
      <c r="BQ31" s="99" t="s">
        <v>1379</v>
      </c>
      <c r="BR31" s="81"/>
      <c r="BS31" s="81"/>
      <c r="BT31" s="81"/>
      <c r="BU31" s="81"/>
    </row>
    <row r="32" spans="1:73" ht="20.25">
      <c r="BJ32" s="81"/>
      <c r="BK32" s="81"/>
      <c r="BL32" s="81"/>
      <c r="BM32" s="93">
        <v>5</v>
      </c>
      <c r="BN32" s="93"/>
      <c r="BO32" s="93"/>
      <c r="BP32" s="93"/>
      <c r="BQ32" s="99" t="s">
        <v>1380</v>
      </c>
      <c r="BR32" s="81"/>
      <c r="BS32" s="81"/>
      <c r="BT32" s="81"/>
      <c r="BU32" s="81"/>
    </row>
    <row r="33" spans="1:73" ht="20.25">
      <c r="BJ33" s="81"/>
      <c r="BK33" s="81"/>
      <c r="BL33" s="81"/>
      <c r="BM33" s="93">
        <v>6</v>
      </c>
      <c r="BN33" s="93"/>
      <c r="BO33" s="93"/>
      <c r="BP33" s="93"/>
      <c r="BQ33" s="99" t="s">
        <v>1381</v>
      </c>
      <c r="BR33" s="81"/>
      <c r="BS33" s="81"/>
      <c r="BT33" s="81"/>
      <c r="BU33" s="81"/>
    </row>
    <row r="34" spans="1:73" ht="20.25">
      <c r="BJ34" s="81"/>
      <c r="BK34" s="81"/>
      <c r="BL34" s="81"/>
      <c r="BM34" s="93">
        <v>7</v>
      </c>
      <c r="BN34" s="93"/>
      <c r="BO34" s="93"/>
      <c r="BP34" s="93"/>
      <c r="BQ34" s="99" t="s">
        <v>1382</v>
      </c>
      <c r="BR34" s="81"/>
      <c r="BS34" s="81"/>
      <c r="BT34" s="81"/>
      <c r="BU34" s="81"/>
    </row>
    <row r="35" spans="1:73" ht="20.25">
      <c r="BJ35" s="81"/>
      <c r="BK35" s="81"/>
      <c r="BL35" s="81"/>
      <c r="BM35" s="93">
        <v>8</v>
      </c>
      <c r="BN35" s="93"/>
      <c r="BO35" s="93"/>
      <c r="BP35" s="93"/>
      <c r="BQ35" s="99" t="s">
        <v>1383</v>
      </c>
      <c r="BR35" s="81"/>
      <c r="BS35" s="81"/>
      <c r="BT35" s="81"/>
      <c r="BU35" s="81"/>
    </row>
    <row r="36" spans="1:73" ht="20.25">
      <c r="BJ36" s="81"/>
      <c r="BK36" s="81"/>
      <c r="BL36" s="81"/>
      <c r="BM36" s="93">
        <v>9</v>
      </c>
      <c r="BN36" s="93"/>
      <c r="BO36" s="93"/>
      <c r="BP36" s="93"/>
      <c r="BQ36" s="99" t="s">
        <v>1384</v>
      </c>
      <c r="BR36" s="81"/>
      <c r="BS36" s="81"/>
      <c r="BT36" s="81"/>
      <c r="BU36" s="81"/>
    </row>
    <row r="37" spans="1:73" ht="20.25">
      <c r="BJ37" s="81"/>
      <c r="BK37" s="81"/>
      <c r="BL37" s="81"/>
      <c r="BM37" s="93">
        <v>10</v>
      </c>
      <c r="BN37" s="93"/>
      <c r="BO37" s="93"/>
      <c r="BP37" s="93"/>
      <c r="BQ37" s="93"/>
      <c r="BR37" s="81"/>
      <c r="BS37" s="81"/>
      <c r="BT37" s="81"/>
      <c r="BU37" s="81"/>
    </row>
    <row r="38" spans="1:73" ht="20.25">
      <c r="BJ38" s="81"/>
      <c r="BK38" s="81"/>
      <c r="BL38" s="81"/>
      <c r="BM38" s="93">
        <v>11</v>
      </c>
      <c r="BN38" s="93"/>
      <c r="BO38" s="93"/>
      <c r="BP38" s="93"/>
      <c r="BQ38" s="93"/>
      <c r="BR38" s="81"/>
      <c r="BS38" s="81"/>
      <c r="BT38" s="81"/>
      <c r="BU38" s="81"/>
    </row>
    <row r="39" spans="1:73" ht="20.25">
      <c r="BJ39" s="81"/>
      <c r="BK39" s="81"/>
      <c r="BL39" s="81"/>
      <c r="BM39" s="93">
        <v>12</v>
      </c>
      <c r="BN39" s="93"/>
      <c r="BO39" s="93"/>
      <c r="BP39" s="93"/>
      <c r="BQ39" s="93"/>
      <c r="BR39" s="81"/>
      <c r="BS39" s="81"/>
      <c r="BT39" s="81"/>
      <c r="BU39" s="81"/>
    </row>
    <row r="40" spans="1:73">
      <c r="BJ40" s="81"/>
      <c r="BK40" s="81"/>
      <c r="BL40" s="81"/>
      <c r="BM40" s="81"/>
      <c r="BN40" s="81"/>
      <c r="BO40" s="81"/>
      <c r="BP40" s="81"/>
      <c r="BQ40" s="81"/>
      <c r="BR40" s="81"/>
      <c r="BS40" s="81"/>
      <c r="BT40" s="81"/>
      <c r="BU40" s="81"/>
    </row>
    <row r="41" spans="1:73">
      <c r="BJ41" s="81"/>
      <c r="BK41" s="81"/>
      <c r="BL41" s="81"/>
      <c r="BM41" s="81"/>
      <c r="BN41" s="81"/>
      <c r="BO41" s="81"/>
      <c r="BP41" s="81"/>
      <c r="BQ41" s="81"/>
      <c r="BR41" s="81"/>
      <c r="BS41" s="81"/>
      <c r="BT41" s="81"/>
      <c r="BU41" s="81"/>
    </row>
    <row r="42" spans="1:73">
      <c r="BJ42" s="81"/>
      <c r="BK42" s="81"/>
      <c r="BL42" s="81"/>
      <c r="BM42" s="81"/>
      <c r="BN42" s="81"/>
      <c r="BO42" s="81"/>
      <c r="BP42" s="81"/>
      <c r="BQ42" s="81"/>
      <c r="BR42" s="81"/>
      <c r="BS42" s="81"/>
      <c r="BT42" s="81"/>
      <c r="BU42" s="81"/>
    </row>
    <row r="43" spans="1:73">
      <c r="BJ43" s="81"/>
      <c r="BK43" s="81"/>
      <c r="BL43" s="81"/>
      <c r="BM43" s="81"/>
      <c r="BN43" s="81"/>
      <c r="BO43" s="81"/>
      <c r="BP43" s="81"/>
      <c r="BQ43" s="81"/>
      <c r="BR43" s="81"/>
      <c r="BS43" s="81"/>
      <c r="BT43" s="81"/>
      <c r="BU43" s="81"/>
    </row>
    <row r="44" spans="1:73">
      <c r="BJ44" s="81"/>
      <c r="BK44" s="81"/>
      <c r="BL44" s="81"/>
      <c r="BM44" s="81"/>
      <c r="BN44" s="81"/>
      <c r="BO44" s="81"/>
      <c r="BP44" s="81"/>
      <c r="BQ44" s="81"/>
      <c r="BR44" s="81"/>
      <c r="BS44" s="81"/>
      <c r="BT44" s="81"/>
      <c r="BU44" s="81"/>
    </row>
    <row r="45" spans="1:73">
      <c r="BJ45" s="81"/>
      <c r="BK45" s="81"/>
      <c r="BL45" s="81"/>
      <c r="BM45" s="81"/>
      <c r="BN45" s="81"/>
      <c r="BO45" s="81"/>
      <c r="BP45" s="81"/>
      <c r="BQ45" s="81"/>
      <c r="BR45" s="81"/>
      <c r="BS45" s="81"/>
      <c r="BT45" s="81"/>
      <c r="BU45" s="81"/>
    </row>
    <row r="46" spans="1:73">
      <c r="BJ46" s="81"/>
      <c r="BK46" s="81"/>
      <c r="BL46" s="81"/>
      <c r="BM46" s="81"/>
      <c r="BN46" s="81"/>
      <c r="BO46" s="81"/>
      <c r="BP46" s="81"/>
      <c r="BQ46" s="81"/>
      <c r="BR46" s="81"/>
      <c r="BS46" s="81"/>
      <c r="BT46" s="81"/>
      <c r="BU46" s="81"/>
    </row>
    <row r="47" spans="1:73" ht="24">
      <c r="A47" s="57" t="s">
        <v>1314</v>
      </c>
      <c r="B47" s="57"/>
      <c r="C47" s="57"/>
      <c r="D47" s="57"/>
      <c r="E47" s="57"/>
      <c r="F47" s="57"/>
      <c r="G47" s="57"/>
      <c r="H47" s="57"/>
      <c r="I47" s="57"/>
      <c r="J47" s="57"/>
      <c r="K47" s="58"/>
      <c r="L47" s="58"/>
      <c r="M47" s="58"/>
      <c r="N47" s="58"/>
      <c r="O47" s="58"/>
      <c r="P47" s="58"/>
      <c r="Q47" s="58"/>
      <c r="R47" s="58"/>
      <c r="S47" s="58"/>
      <c r="T47" s="58"/>
      <c r="U47" s="58"/>
      <c r="V47" s="58"/>
      <c r="W47" s="58"/>
      <c r="X47" s="58"/>
      <c r="Y47" s="58"/>
      <c r="Z47" s="58"/>
      <c r="AA47" s="58"/>
      <c r="AB47" s="58"/>
      <c r="AC47" s="58"/>
      <c r="AD47" s="58"/>
      <c r="AE47" s="58"/>
      <c r="AF47" s="58"/>
      <c r="AG47" s="58"/>
      <c r="AH47" s="58"/>
      <c r="AI47" s="58"/>
      <c r="AJ47" s="58"/>
      <c r="AK47" s="58"/>
      <c r="AL47" s="58"/>
      <c r="AM47" s="58"/>
      <c r="AN47" s="58"/>
      <c r="AO47" s="58"/>
      <c r="AP47" s="58"/>
      <c r="AQ47" s="58"/>
      <c r="AR47" s="58"/>
      <c r="BJ47" s="81"/>
      <c r="BK47" s="81"/>
      <c r="BL47" s="81"/>
      <c r="BM47" s="81"/>
      <c r="BN47" s="81"/>
      <c r="BO47" s="81"/>
      <c r="BP47" s="81"/>
      <c r="BQ47" s="81"/>
      <c r="BR47" s="81"/>
      <c r="BS47" s="81"/>
      <c r="BT47" s="81"/>
      <c r="BU47" s="81"/>
    </row>
    <row r="48" spans="1:73" ht="27.75" customHeight="1">
      <c r="A48" s="378" t="s">
        <v>1446</v>
      </c>
      <c r="B48" s="378"/>
      <c r="C48" s="378"/>
      <c r="D48" s="378"/>
      <c r="E48" s="378"/>
      <c r="F48" s="378"/>
      <c r="G48" s="378"/>
      <c r="H48" s="378"/>
      <c r="I48" s="378"/>
      <c r="J48" s="378"/>
      <c r="K48" s="378"/>
      <c r="L48" s="378"/>
      <c r="M48" s="378"/>
      <c r="N48" s="378"/>
      <c r="O48" s="378"/>
      <c r="P48" s="378"/>
      <c r="Q48" s="378"/>
      <c r="R48" s="378"/>
      <c r="S48" s="378"/>
      <c r="T48" s="378"/>
      <c r="U48" s="378"/>
      <c r="V48" s="378"/>
      <c r="W48" s="378"/>
      <c r="X48" s="378"/>
      <c r="Y48" s="378"/>
      <c r="Z48" s="378"/>
      <c r="AA48" s="378"/>
      <c r="AB48" s="378"/>
      <c r="AC48" s="378"/>
      <c r="AD48" s="378"/>
      <c r="AE48" s="378"/>
      <c r="AF48" s="378"/>
      <c r="AG48" s="378"/>
      <c r="AH48" s="378"/>
      <c r="AI48" s="378"/>
      <c r="AJ48" s="378"/>
      <c r="AK48" s="378"/>
      <c r="AL48" s="378"/>
      <c r="AM48" s="378"/>
      <c r="AN48" s="378"/>
      <c r="AO48" s="378"/>
      <c r="AP48" s="378"/>
      <c r="AQ48" s="378"/>
      <c r="AR48" s="378"/>
      <c r="BJ48" s="81"/>
      <c r="BK48" s="81"/>
      <c r="BL48" s="81"/>
      <c r="BM48" s="81"/>
      <c r="BN48" s="81"/>
      <c r="BO48" s="81"/>
      <c r="BP48" s="81"/>
      <c r="BQ48" s="81"/>
      <c r="BR48" s="81"/>
      <c r="BS48" s="81"/>
      <c r="BT48" s="81"/>
      <c r="BU48" s="81"/>
    </row>
    <row r="49" spans="1:73" ht="27.75" customHeight="1">
      <c r="A49" s="378"/>
      <c r="B49" s="378"/>
      <c r="C49" s="378"/>
      <c r="D49" s="378"/>
      <c r="E49" s="378"/>
      <c r="F49" s="378"/>
      <c r="G49" s="378"/>
      <c r="H49" s="378"/>
      <c r="I49" s="378"/>
      <c r="J49" s="378"/>
      <c r="K49" s="378"/>
      <c r="L49" s="378"/>
      <c r="M49" s="378"/>
      <c r="N49" s="378"/>
      <c r="O49" s="378"/>
      <c r="P49" s="378"/>
      <c r="Q49" s="378"/>
      <c r="R49" s="378"/>
      <c r="S49" s="378"/>
      <c r="T49" s="378"/>
      <c r="U49" s="378"/>
      <c r="V49" s="378"/>
      <c r="W49" s="378"/>
      <c r="X49" s="378"/>
      <c r="Y49" s="378"/>
      <c r="Z49" s="378"/>
      <c r="AA49" s="378"/>
      <c r="AB49" s="378"/>
      <c r="AC49" s="378"/>
      <c r="AD49" s="378"/>
      <c r="AE49" s="378"/>
      <c r="AF49" s="378"/>
      <c r="AG49" s="378"/>
      <c r="AH49" s="378"/>
      <c r="AI49" s="378"/>
      <c r="AJ49" s="378"/>
      <c r="AK49" s="378"/>
      <c r="AL49" s="378"/>
      <c r="AM49" s="378"/>
      <c r="AN49" s="378"/>
      <c r="AO49" s="378"/>
      <c r="AP49" s="378"/>
      <c r="AQ49" s="378"/>
      <c r="AR49" s="378"/>
      <c r="BJ49" s="81"/>
      <c r="BK49" s="81"/>
      <c r="BL49" s="81"/>
      <c r="BM49" s="81"/>
      <c r="BN49" s="81"/>
      <c r="BO49" s="81"/>
      <c r="BP49" s="81"/>
      <c r="BQ49" s="81"/>
      <c r="BR49" s="81"/>
      <c r="BS49" s="81"/>
      <c r="BT49" s="81"/>
      <c r="BU49" s="81"/>
    </row>
    <row r="50" spans="1:73" ht="126.75" customHeight="1">
      <c r="A50" s="378"/>
      <c r="B50" s="378"/>
      <c r="C50" s="378"/>
      <c r="D50" s="378"/>
      <c r="E50" s="378"/>
      <c r="F50" s="378"/>
      <c r="G50" s="378"/>
      <c r="H50" s="378"/>
      <c r="I50" s="378"/>
      <c r="J50" s="378"/>
      <c r="K50" s="378"/>
      <c r="L50" s="378"/>
      <c r="M50" s="378"/>
      <c r="N50" s="378"/>
      <c r="O50" s="378"/>
      <c r="P50" s="378"/>
      <c r="Q50" s="378"/>
      <c r="R50" s="378"/>
      <c r="S50" s="378"/>
      <c r="T50" s="378"/>
      <c r="U50" s="378"/>
      <c r="V50" s="378"/>
      <c r="W50" s="378"/>
      <c r="X50" s="378"/>
      <c r="Y50" s="378"/>
      <c r="Z50" s="378"/>
      <c r="AA50" s="378"/>
      <c r="AB50" s="378"/>
      <c r="AC50" s="378"/>
      <c r="AD50" s="378"/>
      <c r="AE50" s="378"/>
      <c r="AF50" s="378"/>
      <c r="AG50" s="378"/>
      <c r="AH50" s="378"/>
      <c r="AI50" s="378"/>
      <c r="AJ50" s="378"/>
      <c r="AK50" s="378"/>
      <c r="AL50" s="378"/>
      <c r="AM50" s="378"/>
      <c r="AN50" s="378"/>
      <c r="AO50" s="378"/>
      <c r="AP50" s="378"/>
      <c r="AQ50" s="378"/>
      <c r="AR50" s="378"/>
      <c r="BJ50" s="81"/>
      <c r="BK50" s="81"/>
      <c r="BL50" s="81"/>
      <c r="BM50" s="81"/>
      <c r="BN50" s="81"/>
      <c r="BO50" s="81"/>
      <c r="BP50" s="81"/>
      <c r="BQ50" s="81"/>
      <c r="BR50" s="81"/>
      <c r="BS50" s="81"/>
      <c r="BT50" s="81"/>
      <c r="BU50" s="81"/>
    </row>
    <row r="51" spans="1:73" ht="26.45"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c r="AA51" s="108"/>
      <c r="AB51" s="108"/>
      <c r="AC51" s="108"/>
      <c r="AD51" s="108"/>
      <c r="AE51" s="108"/>
      <c r="AF51" s="108"/>
      <c r="AG51" s="108"/>
      <c r="AH51" s="108"/>
      <c r="AI51" s="108"/>
      <c r="AJ51" s="108"/>
      <c r="AK51" s="108"/>
      <c r="AL51" s="108"/>
      <c r="AM51" s="108"/>
      <c r="AN51" s="108"/>
      <c r="AO51" s="108"/>
      <c r="AP51" s="108"/>
      <c r="AQ51" s="108"/>
      <c r="AR51" s="108"/>
      <c r="BJ51" s="81"/>
      <c r="BK51" s="81"/>
      <c r="BL51" s="81"/>
      <c r="BM51" s="81"/>
      <c r="BN51" s="81"/>
      <c r="BO51" s="81"/>
      <c r="BP51" s="81"/>
      <c r="BQ51" s="81"/>
      <c r="BR51" s="81"/>
      <c r="BS51" s="81"/>
      <c r="BT51" s="81"/>
      <c r="BU51" s="81"/>
    </row>
    <row r="52" spans="1:73" ht="29.25" customHeight="1">
      <c r="A52" s="199" t="s">
        <v>1865</v>
      </c>
      <c r="B52" s="199"/>
      <c r="C52" s="199"/>
      <c r="D52" s="199"/>
      <c r="E52" s="199"/>
      <c r="F52" s="199"/>
      <c r="G52" s="199"/>
      <c r="H52" s="199"/>
      <c r="I52" s="199"/>
      <c r="J52" s="199"/>
      <c r="K52" s="199"/>
      <c r="L52" s="199"/>
      <c r="M52" s="199"/>
      <c r="N52" s="199"/>
      <c r="O52" s="199"/>
      <c r="P52" s="199"/>
      <c r="Q52" s="199"/>
      <c r="R52" s="199"/>
      <c r="S52" s="199"/>
      <c r="T52" s="199"/>
      <c r="U52" s="199"/>
      <c r="V52" s="199"/>
      <c r="W52" s="199"/>
      <c r="X52" s="199"/>
      <c r="Y52" s="199"/>
      <c r="Z52" s="199"/>
      <c r="AA52" s="199"/>
      <c r="AB52" s="199"/>
      <c r="AC52" s="199"/>
      <c r="AD52" s="199"/>
      <c r="AE52" s="199"/>
      <c r="AF52" s="199"/>
      <c r="AG52" s="199"/>
      <c r="AH52" s="199"/>
      <c r="AI52" s="199"/>
      <c r="AJ52" s="199"/>
      <c r="AK52" s="199"/>
      <c r="AL52" s="199"/>
      <c r="AM52" s="199"/>
      <c r="AN52" s="199"/>
      <c r="AO52" s="199"/>
      <c r="BJ52" s="81"/>
      <c r="BK52" s="81"/>
      <c r="BL52" s="81"/>
      <c r="BM52" s="81"/>
      <c r="BN52" s="81"/>
      <c r="BO52" s="81"/>
      <c r="BP52" s="81"/>
      <c r="BQ52" s="81"/>
      <c r="BR52" s="81"/>
      <c r="BS52" s="81"/>
      <c r="BT52" s="81"/>
      <c r="BU52" s="81"/>
    </row>
    <row r="53" spans="1:73" s="60" customFormat="1" ht="13.5" customHeight="1">
      <c r="A53" s="59"/>
      <c r="B53" s="59"/>
      <c r="C53" s="59"/>
      <c r="D53" s="59"/>
      <c r="E53" s="59"/>
      <c r="F53" s="59"/>
      <c r="G53" s="59"/>
      <c r="H53" s="59"/>
      <c r="I53" s="59"/>
      <c r="J53" s="59"/>
      <c r="K53" s="59"/>
      <c r="L53" s="59"/>
      <c r="M53" s="59"/>
      <c r="N53" s="59"/>
      <c r="O53" s="59"/>
      <c r="P53" s="59"/>
      <c r="Q53" s="59"/>
      <c r="R53" s="59"/>
      <c r="S53" s="59"/>
      <c r="T53" s="59"/>
      <c r="U53" s="59"/>
      <c r="V53" s="59"/>
      <c r="W53" s="59"/>
      <c r="X53" s="59"/>
      <c r="Y53" s="59"/>
      <c r="Z53" s="59"/>
      <c r="AA53" s="59"/>
      <c r="AB53" s="59"/>
      <c r="AC53" s="59"/>
      <c r="AD53" s="59"/>
      <c r="AE53" s="59"/>
      <c r="AF53" s="59"/>
      <c r="AG53" s="59"/>
      <c r="AH53" s="59"/>
      <c r="AI53" s="59"/>
      <c r="AJ53" s="59"/>
      <c r="AK53" s="59"/>
      <c r="AL53" s="59"/>
      <c r="AM53" s="59"/>
      <c r="AN53" s="59"/>
      <c r="BJ53" s="79"/>
      <c r="BK53" s="79"/>
      <c r="BL53" s="79"/>
      <c r="BM53" s="79"/>
      <c r="BN53" s="79"/>
      <c r="BO53" s="79"/>
      <c r="BP53" s="79"/>
      <c r="BQ53" s="79"/>
      <c r="BR53" s="79"/>
      <c r="BS53" s="79"/>
      <c r="BT53" s="79"/>
      <c r="BU53" s="79"/>
    </row>
    <row r="54" spans="1:73" ht="26.25" customHeight="1">
      <c r="A54" s="378" t="s">
        <v>1863</v>
      </c>
      <c r="B54" s="378"/>
      <c r="C54" s="378"/>
      <c r="D54" s="378"/>
      <c r="E54" s="378"/>
      <c r="F54" s="378"/>
      <c r="G54" s="378"/>
      <c r="H54" s="378"/>
      <c r="I54" s="378"/>
      <c r="J54" s="378"/>
      <c r="K54" s="378"/>
      <c r="L54" s="378"/>
      <c r="M54" s="378"/>
      <c r="N54" s="378"/>
      <c r="O54" s="378"/>
      <c r="P54" s="378"/>
      <c r="Q54" s="378"/>
      <c r="R54" s="378"/>
      <c r="S54" s="378"/>
      <c r="T54" s="378"/>
      <c r="U54" s="378"/>
      <c r="V54" s="378"/>
      <c r="W54" s="378"/>
      <c r="X54" s="378"/>
      <c r="Y54" s="378"/>
      <c r="Z54" s="378"/>
      <c r="AA54" s="378"/>
      <c r="AB54" s="378"/>
      <c r="AC54" s="378"/>
      <c r="AD54" s="378"/>
      <c r="AE54" s="378"/>
      <c r="AF54" s="378"/>
      <c r="AG54" s="378"/>
      <c r="AH54" s="378"/>
      <c r="AI54" s="378"/>
      <c r="AJ54" s="378"/>
      <c r="AK54" s="378"/>
      <c r="AL54" s="378"/>
      <c r="AM54" s="378"/>
      <c r="AN54" s="378"/>
      <c r="BJ54" s="81"/>
      <c r="BK54" s="81"/>
      <c r="BL54" s="81"/>
      <c r="BM54" s="81"/>
      <c r="BN54" s="81"/>
      <c r="BO54" s="81"/>
      <c r="BP54" s="81"/>
      <c r="BQ54" s="81"/>
      <c r="BR54" s="81"/>
      <c r="BS54" s="81"/>
      <c r="BT54" s="81"/>
      <c r="BU54" s="81"/>
    </row>
    <row r="55" spans="1:73" ht="48" customHeight="1">
      <c r="A55" s="378"/>
      <c r="B55" s="378"/>
      <c r="C55" s="378"/>
      <c r="D55" s="378"/>
      <c r="E55" s="378"/>
      <c r="F55" s="378"/>
      <c r="G55" s="378"/>
      <c r="H55" s="378"/>
      <c r="I55" s="378"/>
      <c r="J55" s="378"/>
      <c r="K55" s="378"/>
      <c r="L55" s="378"/>
      <c r="M55" s="378"/>
      <c r="N55" s="378"/>
      <c r="O55" s="378"/>
      <c r="P55" s="378"/>
      <c r="Q55" s="378"/>
      <c r="R55" s="378"/>
      <c r="S55" s="378"/>
      <c r="T55" s="378"/>
      <c r="U55" s="378"/>
      <c r="V55" s="378"/>
      <c r="W55" s="378"/>
      <c r="X55" s="378"/>
      <c r="Y55" s="378"/>
      <c r="Z55" s="378"/>
      <c r="AA55" s="378"/>
      <c r="AB55" s="378"/>
      <c r="AC55" s="378"/>
      <c r="AD55" s="378"/>
      <c r="AE55" s="378"/>
      <c r="AF55" s="378"/>
      <c r="AG55" s="378"/>
      <c r="AH55" s="378"/>
      <c r="AI55" s="378"/>
      <c r="AJ55" s="378"/>
      <c r="AK55" s="378"/>
      <c r="AL55" s="378"/>
      <c r="AM55" s="378"/>
      <c r="AN55" s="378"/>
      <c r="BJ55" s="81"/>
      <c r="BK55" s="81"/>
      <c r="BL55" s="81"/>
      <c r="BM55" s="81"/>
      <c r="BN55" s="81"/>
      <c r="BO55" s="81"/>
      <c r="BP55" s="81"/>
      <c r="BQ55" s="81"/>
      <c r="BR55" s="81"/>
      <c r="BS55" s="81"/>
      <c r="BT55" s="81"/>
      <c r="BU55" s="81"/>
    </row>
    <row r="56" spans="1:73">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c r="AA56" s="61"/>
      <c r="AB56" s="61"/>
      <c r="AC56" s="61"/>
      <c r="AD56" s="61"/>
      <c r="AE56" s="61"/>
      <c r="AF56" s="61"/>
      <c r="AG56" s="61"/>
      <c r="AH56" s="61"/>
      <c r="AI56" s="61"/>
      <c r="AJ56" s="61"/>
      <c r="AK56" s="61"/>
      <c r="AL56" s="61"/>
      <c r="AM56" s="61"/>
      <c r="AN56" s="61"/>
      <c r="BJ56" s="81"/>
      <c r="BK56" s="81"/>
      <c r="BL56" s="81"/>
      <c r="BM56" s="81"/>
      <c r="BN56" s="81"/>
      <c r="BO56" s="81"/>
      <c r="BP56" s="81"/>
      <c r="BQ56" s="81"/>
      <c r="BR56" s="81"/>
      <c r="BS56" s="81"/>
      <c r="BT56" s="81"/>
      <c r="BU56" s="81"/>
    </row>
    <row r="57" spans="1:73" ht="20.45" customHeight="1">
      <c r="A57" s="363" t="s">
        <v>1470</v>
      </c>
      <c r="B57" s="364"/>
      <c r="C57" s="364"/>
      <c r="D57" s="364"/>
      <c r="E57" s="364"/>
      <c r="F57" s="364"/>
      <c r="G57" s="364"/>
      <c r="H57" s="364"/>
      <c r="I57" s="364"/>
      <c r="J57" s="364"/>
      <c r="K57" s="364"/>
      <c r="L57" s="364"/>
      <c r="M57" s="364"/>
      <c r="N57" s="364"/>
      <c r="O57" s="364"/>
      <c r="P57" s="364"/>
      <c r="Q57" s="364"/>
      <c r="R57" s="365"/>
      <c r="S57" s="363" t="s">
        <v>1389</v>
      </c>
      <c r="T57" s="364"/>
      <c r="U57" s="364"/>
      <c r="V57" s="364"/>
      <c r="W57" s="364"/>
      <c r="X57" s="364"/>
      <c r="Y57" s="364"/>
      <c r="Z57" s="364"/>
      <c r="AA57" s="364"/>
      <c r="AB57" s="364"/>
      <c r="AC57" s="364"/>
      <c r="AD57" s="364"/>
      <c r="AE57" s="364"/>
      <c r="AF57" s="364"/>
      <c r="AG57" s="364"/>
      <c r="AH57" s="364"/>
      <c r="AI57" s="364"/>
      <c r="AJ57" s="365"/>
      <c r="AK57" s="62"/>
      <c r="AL57" s="62"/>
      <c r="AM57" s="62"/>
      <c r="AN57" s="62"/>
      <c r="BJ57" s="81"/>
      <c r="BK57" s="81"/>
      <c r="BL57" s="81"/>
      <c r="BM57" s="81"/>
      <c r="BN57" s="81"/>
      <c r="BO57" s="81"/>
      <c r="BP57" s="81"/>
      <c r="BQ57" s="81"/>
      <c r="BR57" s="81"/>
      <c r="BS57" s="81"/>
      <c r="BT57" s="81"/>
      <c r="BU57" s="81"/>
    </row>
    <row r="58" spans="1:73">
      <c r="A58" s="366"/>
      <c r="B58" s="367"/>
      <c r="C58" s="367"/>
      <c r="D58" s="367"/>
      <c r="E58" s="367"/>
      <c r="F58" s="367"/>
      <c r="G58" s="367"/>
      <c r="H58" s="367"/>
      <c r="I58" s="367"/>
      <c r="J58" s="367"/>
      <c r="K58" s="367"/>
      <c r="L58" s="367"/>
      <c r="M58" s="367"/>
      <c r="N58" s="367"/>
      <c r="O58" s="367"/>
      <c r="P58" s="367"/>
      <c r="Q58" s="367"/>
      <c r="R58" s="368"/>
      <c r="S58" s="366"/>
      <c r="T58" s="367"/>
      <c r="U58" s="367"/>
      <c r="V58" s="367"/>
      <c r="W58" s="367"/>
      <c r="X58" s="367"/>
      <c r="Y58" s="367"/>
      <c r="Z58" s="367"/>
      <c r="AA58" s="367"/>
      <c r="AB58" s="367"/>
      <c r="AC58" s="367"/>
      <c r="AD58" s="367"/>
      <c r="AE58" s="367"/>
      <c r="AF58" s="367"/>
      <c r="AG58" s="367"/>
      <c r="AH58" s="367"/>
      <c r="AI58" s="367"/>
      <c r="AJ58" s="368"/>
      <c r="AK58" s="62"/>
      <c r="AL58" s="62"/>
      <c r="AM58" s="62"/>
      <c r="AN58" s="62"/>
      <c r="BJ58" s="81"/>
      <c r="BK58" s="81"/>
      <c r="BL58" s="81"/>
      <c r="BM58" s="81"/>
      <c r="BN58" s="81"/>
      <c r="BO58" s="81"/>
      <c r="BP58" s="81"/>
      <c r="BQ58" s="81"/>
      <c r="BR58" s="81"/>
      <c r="BS58" s="81"/>
      <c r="BT58" s="81"/>
      <c r="BU58" s="81"/>
    </row>
    <row r="59" spans="1:73" ht="84" customHeight="1">
      <c r="A59" s="369"/>
      <c r="B59" s="370"/>
      <c r="C59" s="370"/>
      <c r="D59" s="370"/>
      <c r="E59" s="370"/>
      <c r="F59" s="370"/>
      <c r="G59" s="370"/>
      <c r="H59" s="370"/>
      <c r="I59" s="370"/>
      <c r="J59" s="370"/>
      <c r="K59" s="370"/>
      <c r="L59" s="370"/>
      <c r="M59" s="370"/>
      <c r="N59" s="370"/>
      <c r="O59" s="370"/>
      <c r="P59" s="370"/>
      <c r="Q59" s="370"/>
      <c r="R59" s="371"/>
      <c r="S59" s="369"/>
      <c r="T59" s="370"/>
      <c r="U59" s="370"/>
      <c r="V59" s="370"/>
      <c r="W59" s="370"/>
      <c r="X59" s="370"/>
      <c r="Y59" s="370"/>
      <c r="Z59" s="370"/>
      <c r="AA59" s="370"/>
      <c r="AB59" s="370"/>
      <c r="AC59" s="370"/>
      <c r="AD59" s="370"/>
      <c r="AE59" s="370"/>
      <c r="AF59" s="370"/>
      <c r="AG59" s="370"/>
      <c r="AH59" s="370"/>
      <c r="AI59" s="370"/>
      <c r="AJ59" s="371"/>
      <c r="AK59" s="62"/>
      <c r="AL59" s="62"/>
      <c r="AM59" s="62"/>
      <c r="AN59" s="62"/>
    </row>
    <row r="60" spans="1:73" ht="24">
      <c r="A60" s="298" t="s">
        <v>40</v>
      </c>
      <c r="B60" s="299"/>
      <c r="C60" s="299"/>
      <c r="D60" s="299"/>
      <c r="E60" s="299"/>
      <c r="F60" s="299"/>
      <c r="G60" s="299"/>
      <c r="H60" s="299"/>
      <c r="I60" s="299"/>
      <c r="J60" s="299"/>
      <c r="K60" s="299"/>
      <c r="L60" s="299"/>
      <c r="M60" s="299"/>
      <c r="N60" s="299"/>
      <c r="O60" s="299"/>
      <c r="P60" s="299"/>
      <c r="Q60" s="299"/>
      <c r="R60" s="299"/>
      <c r="S60" s="299"/>
      <c r="T60" s="299"/>
      <c r="U60" s="299"/>
      <c r="V60" s="299"/>
      <c r="W60" s="299"/>
      <c r="X60" s="299"/>
      <c r="Y60" s="299"/>
      <c r="Z60" s="299"/>
      <c r="AA60" s="299"/>
      <c r="AB60" s="299"/>
      <c r="AC60" s="299"/>
      <c r="AD60" s="299"/>
      <c r="AE60" s="299"/>
      <c r="AF60" s="299"/>
      <c r="AG60" s="299"/>
      <c r="AH60" s="299"/>
      <c r="AI60" s="299"/>
      <c r="AJ60" s="300"/>
    </row>
    <row r="61" spans="1:73" ht="41.45" customHeight="1">
      <c r="A61" s="247"/>
      <c r="B61" s="248"/>
      <c r="C61" s="248"/>
      <c r="D61" s="248"/>
      <c r="E61" s="248"/>
      <c r="F61" s="248"/>
      <c r="G61" s="248"/>
      <c r="H61" s="248"/>
      <c r="I61" s="248"/>
      <c r="J61" s="248"/>
      <c r="K61" s="248"/>
      <c r="L61" s="248"/>
      <c r="M61" s="248"/>
      <c r="N61" s="248"/>
      <c r="O61" s="248"/>
      <c r="P61" s="248"/>
      <c r="Q61" s="248"/>
      <c r="R61" s="249"/>
      <c r="S61" s="247"/>
      <c r="T61" s="248"/>
      <c r="U61" s="248"/>
      <c r="V61" s="248"/>
      <c r="W61" s="248"/>
      <c r="X61" s="248"/>
      <c r="Y61" s="248"/>
      <c r="Z61" s="248"/>
      <c r="AA61" s="248"/>
      <c r="AB61" s="248"/>
      <c r="AC61" s="248"/>
      <c r="AD61" s="248"/>
      <c r="AE61" s="248"/>
      <c r="AF61" s="248"/>
      <c r="AG61" s="248"/>
      <c r="AH61" s="248"/>
      <c r="AI61" s="248"/>
      <c r="AJ61" s="249"/>
      <c r="AK61" s="62"/>
      <c r="AL61" s="62"/>
      <c r="AM61" s="62"/>
      <c r="AN61" s="62"/>
    </row>
    <row r="62" spans="1:73" ht="41.45" customHeight="1">
      <c r="A62" s="250"/>
      <c r="B62" s="251"/>
      <c r="C62" s="251"/>
      <c r="D62" s="251"/>
      <c r="E62" s="251"/>
      <c r="F62" s="251"/>
      <c r="G62" s="251"/>
      <c r="H62" s="251"/>
      <c r="I62" s="251"/>
      <c r="J62" s="251"/>
      <c r="K62" s="251"/>
      <c r="L62" s="251"/>
      <c r="M62" s="251"/>
      <c r="N62" s="251"/>
      <c r="O62" s="251"/>
      <c r="P62" s="251"/>
      <c r="Q62" s="251"/>
      <c r="R62" s="252"/>
      <c r="S62" s="250"/>
      <c r="T62" s="251"/>
      <c r="U62" s="251"/>
      <c r="V62" s="251"/>
      <c r="W62" s="251"/>
      <c r="X62" s="251"/>
      <c r="Y62" s="251"/>
      <c r="Z62" s="251"/>
      <c r="AA62" s="251"/>
      <c r="AB62" s="251"/>
      <c r="AC62" s="251"/>
      <c r="AD62" s="251"/>
      <c r="AE62" s="251"/>
      <c r="AF62" s="251"/>
      <c r="AG62" s="251"/>
      <c r="AH62" s="251"/>
      <c r="AI62" s="251"/>
      <c r="AJ62" s="252"/>
      <c r="AK62" s="62"/>
      <c r="AL62" s="62"/>
      <c r="AM62" s="62"/>
      <c r="AN62" s="62"/>
    </row>
    <row r="63" spans="1:73" ht="41.45" customHeight="1">
      <c r="A63" s="250"/>
      <c r="B63" s="251"/>
      <c r="C63" s="251"/>
      <c r="D63" s="251"/>
      <c r="E63" s="251"/>
      <c r="F63" s="251"/>
      <c r="G63" s="251"/>
      <c r="H63" s="251"/>
      <c r="I63" s="251"/>
      <c r="J63" s="251"/>
      <c r="K63" s="251"/>
      <c r="L63" s="251"/>
      <c r="M63" s="251"/>
      <c r="N63" s="251"/>
      <c r="O63" s="251"/>
      <c r="P63" s="251"/>
      <c r="Q63" s="251"/>
      <c r="R63" s="252"/>
      <c r="S63" s="250"/>
      <c r="T63" s="251"/>
      <c r="U63" s="251"/>
      <c r="V63" s="251"/>
      <c r="W63" s="251"/>
      <c r="X63" s="251"/>
      <c r="Y63" s="251"/>
      <c r="Z63" s="251"/>
      <c r="AA63" s="251"/>
      <c r="AB63" s="251"/>
      <c r="AC63" s="251"/>
      <c r="AD63" s="251"/>
      <c r="AE63" s="251"/>
      <c r="AF63" s="251"/>
      <c r="AG63" s="251"/>
      <c r="AH63" s="251"/>
      <c r="AI63" s="251"/>
      <c r="AJ63" s="252"/>
      <c r="AK63" s="62"/>
      <c r="AL63" s="62"/>
      <c r="AM63" s="62"/>
      <c r="AN63" s="62"/>
    </row>
    <row r="64" spans="1:73" ht="41.45" customHeight="1">
      <c r="A64" s="250"/>
      <c r="B64" s="251"/>
      <c r="C64" s="251"/>
      <c r="D64" s="251"/>
      <c r="E64" s="251"/>
      <c r="F64" s="251"/>
      <c r="G64" s="251"/>
      <c r="H64" s="251"/>
      <c r="I64" s="251"/>
      <c r="J64" s="251"/>
      <c r="K64" s="251"/>
      <c r="L64" s="251"/>
      <c r="M64" s="251"/>
      <c r="N64" s="251"/>
      <c r="O64" s="251"/>
      <c r="P64" s="251"/>
      <c r="Q64" s="251"/>
      <c r="R64" s="252"/>
      <c r="S64" s="250"/>
      <c r="T64" s="251"/>
      <c r="U64" s="251"/>
      <c r="V64" s="251"/>
      <c r="W64" s="251"/>
      <c r="X64" s="251"/>
      <c r="Y64" s="251"/>
      <c r="Z64" s="251"/>
      <c r="AA64" s="251"/>
      <c r="AB64" s="251"/>
      <c r="AC64" s="251"/>
      <c r="AD64" s="251"/>
      <c r="AE64" s="251"/>
      <c r="AF64" s="251"/>
      <c r="AG64" s="251"/>
      <c r="AH64" s="251"/>
      <c r="AI64" s="251"/>
      <c r="AJ64" s="252"/>
      <c r="AK64" s="62"/>
      <c r="AL64" s="62"/>
      <c r="AM64" s="62"/>
      <c r="AN64" s="62"/>
    </row>
    <row r="65" spans="1:41" ht="252.75" customHeight="1">
      <c r="A65" s="250"/>
      <c r="B65" s="251"/>
      <c r="C65" s="251"/>
      <c r="D65" s="251"/>
      <c r="E65" s="251"/>
      <c r="F65" s="251"/>
      <c r="G65" s="251"/>
      <c r="H65" s="251"/>
      <c r="I65" s="251"/>
      <c r="J65" s="251"/>
      <c r="K65" s="251"/>
      <c r="L65" s="251"/>
      <c r="M65" s="251"/>
      <c r="N65" s="251"/>
      <c r="O65" s="251"/>
      <c r="P65" s="251"/>
      <c r="Q65" s="251"/>
      <c r="R65" s="252"/>
      <c r="S65" s="250"/>
      <c r="T65" s="251"/>
      <c r="U65" s="251"/>
      <c r="V65" s="251"/>
      <c r="W65" s="251"/>
      <c r="X65" s="251"/>
      <c r="Y65" s="251"/>
      <c r="Z65" s="251"/>
      <c r="AA65" s="251"/>
      <c r="AB65" s="251"/>
      <c r="AC65" s="251"/>
      <c r="AD65" s="251"/>
      <c r="AE65" s="251"/>
      <c r="AF65" s="251"/>
      <c r="AG65" s="251"/>
      <c r="AH65" s="251"/>
      <c r="AI65" s="251"/>
      <c r="AJ65" s="252"/>
      <c r="AK65" s="62"/>
      <c r="AL65" s="62"/>
      <c r="AM65" s="62"/>
      <c r="AN65" s="62"/>
    </row>
    <row r="66" spans="1:41" ht="24">
      <c r="A66" s="298" t="s">
        <v>41</v>
      </c>
      <c r="B66" s="299"/>
      <c r="C66" s="299"/>
      <c r="D66" s="299"/>
      <c r="E66" s="299"/>
      <c r="F66" s="299"/>
      <c r="G66" s="299"/>
      <c r="H66" s="299"/>
      <c r="I66" s="299"/>
      <c r="J66" s="299"/>
      <c r="K66" s="299"/>
      <c r="L66" s="299"/>
      <c r="M66" s="299"/>
      <c r="N66" s="299"/>
      <c r="O66" s="299"/>
      <c r="P66" s="299"/>
      <c r="Q66" s="299"/>
      <c r="R66" s="299"/>
      <c r="S66" s="299"/>
      <c r="T66" s="299"/>
      <c r="U66" s="299"/>
      <c r="V66" s="299"/>
      <c r="W66" s="299"/>
      <c r="X66" s="299"/>
      <c r="Y66" s="299"/>
      <c r="Z66" s="299"/>
      <c r="AA66" s="299"/>
      <c r="AB66" s="299"/>
      <c r="AC66" s="299"/>
      <c r="AD66" s="299"/>
      <c r="AE66" s="299"/>
      <c r="AF66" s="299"/>
      <c r="AG66" s="299"/>
      <c r="AH66" s="299"/>
      <c r="AI66" s="299"/>
      <c r="AJ66" s="300"/>
      <c r="AN66" s="60"/>
    </row>
    <row r="67" spans="1:41" ht="41.45" customHeight="1">
      <c r="A67" s="250"/>
      <c r="B67" s="251"/>
      <c r="C67" s="251"/>
      <c r="D67" s="251"/>
      <c r="E67" s="251"/>
      <c r="F67" s="251"/>
      <c r="G67" s="251"/>
      <c r="H67" s="251"/>
      <c r="I67" s="251"/>
      <c r="J67" s="251"/>
      <c r="K67" s="251"/>
      <c r="L67" s="251"/>
      <c r="M67" s="251"/>
      <c r="N67" s="251"/>
      <c r="O67" s="251"/>
      <c r="P67" s="251"/>
      <c r="Q67" s="251"/>
      <c r="R67" s="252"/>
      <c r="S67" s="250"/>
      <c r="T67" s="251"/>
      <c r="U67" s="251"/>
      <c r="V67" s="251"/>
      <c r="W67" s="251"/>
      <c r="X67" s="251"/>
      <c r="Y67" s="251"/>
      <c r="Z67" s="251"/>
      <c r="AA67" s="251"/>
      <c r="AB67" s="251"/>
      <c r="AC67" s="251"/>
      <c r="AD67" s="251"/>
      <c r="AE67" s="251"/>
      <c r="AF67" s="251"/>
      <c r="AG67" s="251"/>
      <c r="AH67" s="251"/>
      <c r="AI67" s="251"/>
      <c r="AJ67" s="252"/>
      <c r="AK67" s="62"/>
      <c r="AL67" s="62"/>
      <c r="AM67" s="62"/>
      <c r="AN67" s="62"/>
    </row>
    <row r="68" spans="1:41" ht="41.45" customHeight="1">
      <c r="A68" s="250"/>
      <c r="B68" s="251"/>
      <c r="C68" s="251"/>
      <c r="D68" s="251"/>
      <c r="E68" s="251"/>
      <c r="F68" s="251"/>
      <c r="G68" s="251"/>
      <c r="H68" s="251"/>
      <c r="I68" s="251"/>
      <c r="J68" s="251"/>
      <c r="K68" s="251"/>
      <c r="L68" s="251"/>
      <c r="M68" s="251"/>
      <c r="N68" s="251"/>
      <c r="O68" s="251"/>
      <c r="P68" s="251"/>
      <c r="Q68" s="251"/>
      <c r="R68" s="252"/>
      <c r="S68" s="250"/>
      <c r="T68" s="251"/>
      <c r="U68" s="251"/>
      <c r="V68" s="251"/>
      <c r="W68" s="251"/>
      <c r="X68" s="251"/>
      <c r="Y68" s="251"/>
      <c r="Z68" s="251"/>
      <c r="AA68" s="251"/>
      <c r="AB68" s="251"/>
      <c r="AC68" s="251"/>
      <c r="AD68" s="251"/>
      <c r="AE68" s="251"/>
      <c r="AF68" s="251"/>
      <c r="AG68" s="251"/>
      <c r="AH68" s="251"/>
      <c r="AI68" s="251"/>
      <c r="AJ68" s="252"/>
      <c r="AK68" s="62"/>
      <c r="AL68" s="62"/>
      <c r="AM68" s="62"/>
      <c r="AN68" s="62"/>
    </row>
    <row r="69" spans="1:41" ht="41.45" customHeight="1">
      <c r="A69" s="250"/>
      <c r="B69" s="251"/>
      <c r="C69" s="251"/>
      <c r="D69" s="251"/>
      <c r="E69" s="251"/>
      <c r="F69" s="251"/>
      <c r="G69" s="251"/>
      <c r="H69" s="251"/>
      <c r="I69" s="251"/>
      <c r="J69" s="251"/>
      <c r="K69" s="251"/>
      <c r="L69" s="251"/>
      <c r="M69" s="251"/>
      <c r="N69" s="251"/>
      <c r="O69" s="251"/>
      <c r="P69" s="251"/>
      <c r="Q69" s="251"/>
      <c r="R69" s="252"/>
      <c r="S69" s="250"/>
      <c r="T69" s="251"/>
      <c r="U69" s="251"/>
      <c r="V69" s="251"/>
      <c r="W69" s="251"/>
      <c r="X69" s="251"/>
      <c r="Y69" s="251"/>
      <c r="Z69" s="251"/>
      <c r="AA69" s="251"/>
      <c r="AB69" s="251"/>
      <c r="AC69" s="251"/>
      <c r="AD69" s="251"/>
      <c r="AE69" s="251"/>
      <c r="AF69" s="251"/>
      <c r="AG69" s="251"/>
      <c r="AH69" s="251"/>
      <c r="AI69" s="251"/>
      <c r="AJ69" s="252"/>
      <c r="AK69" s="62"/>
      <c r="AL69" s="62"/>
      <c r="AM69" s="62"/>
      <c r="AN69" s="62"/>
    </row>
    <row r="70" spans="1:41" ht="41.45" customHeight="1">
      <c r="A70" s="250"/>
      <c r="B70" s="251"/>
      <c r="C70" s="251"/>
      <c r="D70" s="251"/>
      <c r="E70" s="251"/>
      <c r="F70" s="251"/>
      <c r="G70" s="251"/>
      <c r="H70" s="251"/>
      <c r="I70" s="251"/>
      <c r="J70" s="251"/>
      <c r="K70" s="251"/>
      <c r="L70" s="251"/>
      <c r="M70" s="251"/>
      <c r="N70" s="251"/>
      <c r="O70" s="251"/>
      <c r="P70" s="251"/>
      <c r="Q70" s="251"/>
      <c r="R70" s="252"/>
      <c r="S70" s="250"/>
      <c r="T70" s="251"/>
      <c r="U70" s="251"/>
      <c r="V70" s="251"/>
      <c r="W70" s="251"/>
      <c r="X70" s="251"/>
      <c r="Y70" s="251"/>
      <c r="Z70" s="251"/>
      <c r="AA70" s="251"/>
      <c r="AB70" s="251"/>
      <c r="AC70" s="251"/>
      <c r="AD70" s="251"/>
      <c r="AE70" s="251"/>
      <c r="AF70" s="251"/>
      <c r="AG70" s="251"/>
      <c r="AH70" s="251"/>
      <c r="AI70" s="251"/>
      <c r="AJ70" s="252"/>
      <c r="AK70" s="62"/>
      <c r="AL70" s="62"/>
      <c r="AM70" s="62"/>
      <c r="AN70" s="62"/>
    </row>
    <row r="71" spans="1:41" ht="252.95" customHeight="1">
      <c r="A71" s="250"/>
      <c r="B71" s="251"/>
      <c r="C71" s="251"/>
      <c r="D71" s="251"/>
      <c r="E71" s="251"/>
      <c r="F71" s="251"/>
      <c r="G71" s="251"/>
      <c r="H71" s="251"/>
      <c r="I71" s="251"/>
      <c r="J71" s="251"/>
      <c r="K71" s="251"/>
      <c r="L71" s="251"/>
      <c r="M71" s="251"/>
      <c r="N71" s="251"/>
      <c r="O71" s="251"/>
      <c r="P71" s="251"/>
      <c r="Q71" s="251"/>
      <c r="R71" s="252"/>
      <c r="S71" s="250"/>
      <c r="T71" s="251"/>
      <c r="U71" s="251"/>
      <c r="V71" s="251"/>
      <c r="W71" s="251"/>
      <c r="X71" s="251"/>
      <c r="Y71" s="251"/>
      <c r="Z71" s="251"/>
      <c r="AA71" s="251"/>
      <c r="AB71" s="251"/>
      <c r="AC71" s="251"/>
      <c r="AD71" s="251"/>
      <c r="AE71" s="251"/>
      <c r="AF71" s="251"/>
      <c r="AG71" s="251"/>
      <c r="AH71" s="251"/>
      <c r="AI71" s="251"/>
      <c r="AJ71" s="252"/>
      <c r="AK71" s="62"/>
      <c r="AL71" s="62"/>
      <c r="AM71" s="62"/>
      <c r="AN71" s="62"/>
    </row>
    <row r="72" spans="1:41" ht="30.75" customHeight="1">
      <c r="A72" s="55"/>
      <c r="B72" s="55"/>
      <c r="C72" s="55"/>
      <c r="D72" s="55"/>
      <c r="E72" s="55"/>
      <c r="F72" s="55"/>
      <c r="G72" s="55"/>
      <c r="H72" s="55"/>
      <c r="I72" s="55"/>
      <c r="J72" s="55"/>
      <c r="K72" s="55"/>
      <c r="L72" s="55"/>
      <c r="M72" s="55"/>
      <c r="N72" s="55"/>
      <c r="O72" s="55"/>
      <c r="P72" s="55"/>
      <c r="Q72" s="55"/>
      <c r="R72" s="55"/>
      <c r="S72" s="55"/>
      <c r="T72" s="55"/>
      <c r="U72" s="55"/>
      <c r="V72" s="55"/>
      <c r="W72" s="55"/>
      <c r="X72" s="55"/>
      <c r="Y72" s="55"/>
      <c r="Z72" s="55"/>
      <c r="AA72" s="55"/>
      <c r="AB72" s="55"/>
      <c r="AC72" s="55"/>
      <c r="AD72" s="55"/>
      <c r="AE72" s="55"/>
      <c r="AF72" s="55"/>
      <c r="AG72" s="55"/>
      <c r="AH72" s="55"/>
      <c r="AI72" s="55"/>
      <c r="AJ72" s="55"/>
      <c r="AK72" s="62"/>
      <c r="AL72" s="62"/>
      <c r="AM72" s="62"/>
      <c r="AN72" s="62"/>
    </row>
    <row r="73" spans="1:41" ht="30" customHeight="1">
      <c r="A73" s="198" t="s">
        <v>42</v>
      </c>
      <c r="B73" s="198"/>
      <c r="C73" s="198"/>
      <c r="D73" s="198"/>
      <c r="E73" s="198"/>
      <c r="F73" s="198"/>
      <c r="G73" s="198"/>
      <c r="H73" s="198"/>
      <c r="I73" s="198"/>
      <c r="J73" s="198"/>
      <c r="K73" s="198"/>
      <c r="L73" s="198"/>
      <c r="M73" s="198"/>
      <c r="N73" s="198"/>
      <c r="O73" s="198"/>
      <c r="P73" s="198"/>
      <c r="Q73" s="198"/>
      <c r="R73" s="198"/>
      <c r="S73" s="198"/>
      <c r="T73" s="198"/>
      <c r="U73" s="198"/>
      <c r="V73" s="198"/>
      <c r="W73" s="198"/>
      <c r="X73" s="198"/>
      <c r="Y73" s="198"/>
      <c r="Z73" s="198"/>
      <c r="AA73" s="198"/>
      <c r="AB73" s="198"/>
      <c r="AC73" s="198"/>
      <c r="AD73" s="198"/>
      <c r="AE73" s="198"/>
      <c r="AF73" s="198"/>
      <c r="AG73" s="198"/>
      <c r="AH73" s="198"/>
      <c r="AI73" s="198"/>
      <c r="AJ73" s="198"/>
      <c r="AK73" s="198"/>
      <c r="AL73" s="198"/>
      <c r="AM73" s="198"/>
      <c r="AN73" s="198"/>
      <c r="AO73" s="198"/>
    </row>
    <row r="74" spans="1:41" ht="38.25" customHeight="1">
      <c r="A74" s="262" t="s">
        <v>1873</v>
      </c>
      <c r="B74" s="262"/>
      <c r="C74" s="262"/>
      <c r="D74" s="262"/>
      <c r="E74" s="262"/>
      <c r="F74" s="262"/>
      <c r="G74" s="262"/>
      <c r="H74" s="262"/>
      <c r="I74" s="262"/>
      <c r="J74" s="262"/>
      <c r="K74" s="262"/>
      <c r="L74" s="262"/>
      <c r="M74" s="262"/>
      <c r="N74" s="262"/>
      <c r="O74" s="262"/>
      <c r="P74" s="262"/>
      <c r="Q74" s="262"/>
      <c r="R74" s="262"/>
      <c r="S74" s="262"/>
      <c r="T74" s="262"/>
      <c r="U74" s="262"/>
      <c r="V74" s="262"/>
      <c r="W74" s="262"/>
      <c r="X74" s="262"/>
      <c r="Y74" s="262"/>
      <c r="Z74" s="262"/>
      <c r="AA74" s="262"/>
      <c r="AB74" s="262"/>
      <c r="AC74" s="262"/>
      <c r="AD74" s="262"/>
      <c r="AE74" s="262"/>
      <c r="AF74" s="262"/>
      <c r="AG74" s="262"/>
      <c r="AH74" s="262"/>
      <c r="AI74" s="262"/>
      <c r="AJ74" s="262"/>
      <c r="AK74" s="262"/>
      <c r="AL74" s="262"/>
      <c r="AM74" s="262"/>
      <c r="AN74" s="262"/>
    </row>
    <row r="75" spans="1:41" ht="54" customHeight="1">
      <c r="A75" s="262"/>
      <c r="B75" s="262"/>
      <c r="C75" s="262"/>
      <c r="D75" s="262"/>
      <c r="E75" s="262"/>
      <c r="F75" s="262"/>
      <c r="G75" s="262"/>
      <c r="H75" s="262"/>
      <c r="I75" s="262"/>
      <c r="J75" s="262"/>
      <c r="K75" s="262"/>
      <c r="L75" s="262"/>
      <c r="M75" s="262"/>
      <c r="N75" s="262"/>
      <c r="O75" s="262"/>
      <c r="P75" s="262"/>
      <c r="Q75" s="262"/>
      <c r="R75" s="262"/>
      <c r="S75" s="262"/>
      <c r="T75" s="262"/>
      <c r="U75" s="262"/>
      <c r="V75" s="262"/>
      <c r="W75" s="262"/>
      <c r="X75" s="262"/>
      <c r="Y75" s="262"/>
      <c r="Z75" s="262"/>
      <c r="AA75" s="262"/>
      <c r="AB75" s="262"/>
      <c r="AC75" s="262"/>
      <c r="AD75" s="262"/>
      <c r="AE75" s="262"/>
      <c r="AF75" s="262"/>
      <c r="AG75" s="262"/>
      <c r="AH75" s="262"/>
      <c r="AI75" s="262"/>
      <c r="AJ75" s="262"/>
      <c r="AK75" s="262"/>
      <c r="AL75" s="262"/>
      <c r="AM75" s="262"/>
      <c r="AN75" s="262"/>
    </row>
    <row r="76" spans="1:4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c r="AG76" s="61"/>
      <c r="AH76" s="61"/>
      <c r="AI76" s="61"/>
      <c r="AJ76" s="61"/>
      <c r="AK76" s="61"/>
      <c r="AL76" s="61"/>
      <c r="AM76" s="61"/>
      <c r="AN76" s="61"/>
    </row>
    <row r="77" spans="1:41">
      <c r="A77" s="271"/>
      <c r="B77" s="272"/>
      <c r="C77" s="272"/>
      <c r="D77" s="272"/>
      <c r="E77" s="272"/>
      <c r="F77" s="272"/>
      <c r="G77" s="272"/>
      <c r="H77" s="272"/>
      <c r="I77" s="272"/>
      <c r="J77" s="272"/>
      <c r="K77" s="272"/>
      <c r="L77" s="272"/>
      <c r="M77" s="272"/>
      <c r="N77" s="272"/>
      <c r="O77" s="272"/>
      <c r="P77" s="272"/>
      <c r="Q77" s="272"/>
      <c r="R77" s="272"/>
      <c r="S77" s="272"/>
      <c r="T77" s="272"/>
      <c r="U77" s="272"/>
      <c r="V77" s="272"/>
      <c r="W77" s="272"/>
      <c r="X77" s="272"/>
      <c r="Y77" s="272"/>
      <c r="Z77" s="272"/>
      <c r="AA77" s="272"/>
      <c r="AB77" s="272"/>
      <c r="AC77" s="272"/>
      <c r="AD77" s="272"/>
      <c r="AE77" s="272"/>
      <c r="AF77" s="272"/>
      <c r="AG77" s="272"/>
      <c r="AH77" s="272"/>
      <c r="AI77" s="272"/>
      <c r="AJ77" s="273"/>
    </row>
    <row r="78" spans="1:41">
      <c r="A78" s="274"/>
      <c r="B78" s="275"/>
      <c r="C78" s="275"/>
      <c r="D78" s="275"/>
      <c r="E78" s="275"/>
      <c r="F78" s="275"/>
      <c r="G78" s="275"/>
      <c r="H78" s="275"/>
      <c r="I78" s="275"/>
      <c r="J78" s="275"/>
      <c r="K78" s="275"/>
      <c r="L78" s="275"/>
      <c r="M78" s="275"/>
      <c r="N78" s="275"/>
      <c r="O78" s="275"/>
      <c r="P78" s="275"/>
      <c r="Q78" s="275"/>
      <c r="R78" s="275"/>
      <c r="S78" s="275"/>
      <c r="T78" s="275"/>
      <c r="U78" s="275"/>
      <c r="V78" s="275"/>
      <c r="W78" s="275"/>
      <c r="X78" s="275"/>
      <c r="Y78" s="275"/>
      <c r="Z78" s="275"/>
      <c r="AA78" s="275"/>
      <c r="AB78" s="275"/>
      <c r="AC78" s="275"/>
      <c r="AD78" s="275"/>
      <c r="AE78" s="275"/>
      <c r="AF78" s="275"/>
      <c r="AG78" s="275"/>
      <c r="AH78" s="275"/>
      <c r="AI78" s="275"/>
      <c r="AJ78" s="276"/>
    </row>
    <row r="79" spans="1:41">
      <c r="A79" s="274"/>
      <c r="B79" s="275"/>
      <c r="C79" s="275"/>
      <c r="D79" s="275"/>
      <c r="E79" s="275"/>
      <c r="F79" s="275"/>
      <c r="G79" s="275"/>
      <c r="H79" s="275"/>
      <c r="I79" s="275"/>
      <c r="J79" s="275"/>
      <c r="K79" s="275"/>
      <c r="L79" s="275"/>
      <c r="M79" s="275"/>
      <c r="N79" s="275"/>
      <c r="O79" s="275"/>
      <c r="P79" s="275"/>
      <c r="Q79" s="275"/>
      <c r="R79" s="275"/>
      <c r="S79" s="275"/>
      <c r="T79" s="275"/>
      <c r="U79" s="275"/>
      <c r="V79" s="275"/>
      <c r="W79" s="275"/>
      <c r="X79" s="275"/>
      <c r="Y79" s="275"/>
      <c r="Z79" s="275"/>
      <c r="AA79" s="275"/>
      <c r="AB79" s="275"/>
      <c r="AC79" s="275"/>
      <c r="AD79" s="275"/>
      <c r="AE79" s="275"/>
      <c r="AF79" s="275"/>
      <c r="AG79" s="275"/>
      <c r="AH79" s="275"/>
      <c r="AI79" s="275"/>
      <c r="AJ79" s="276"/>
    </row>
    <row r="80" spans="1:41">
      <c r="A80" s="274"/>
      <c r="B80" s="275"/>
      <c r="C80" s="275"/>
      <c r="D80" s="275"/>
      <c r="E80" s="275"/>
      <c r="F80" s="275"/>
      <c r="G80" s="275"/>
      <c r="H80" s="275"/>
      <c r="I80" s="275"/>
      <c r="J80" s="275"/>
      <c r="K80" s="275"/>
      <c r="L80" s="275"/>
      <c r="M80" s="275"/>
      <c r="N80" s="275"/>
      <c r="O80" s="275"/>
      <c r="P80" s="275"/>
      <c r="Q80" s="275"/>
      <c r="R80" s="275"/>
      <c r="S80" s="275"/>
      <c r="T80" s="275"/>
      <c r="U80" s="275"/>
      <c r="V80" s="275"/>
      <c r="W80" s="275"/>
      <c r="X80" s="275"/>
      <c r="Y80" s="275"/>
      <c r="Z80" s="275"/>
      <c r="AA80" s="275"/>
      <c r="AB80" s="275"/>
      <c r="AC80" s="275"/>
      <c r="AD80" s="275"/>
      <c r="AE80" s="275"/>
      <c r="AF80" s="275"/>
      <c r="AG80" s="275"/>
      <c r="AH80" s="275"/>
      <c r="AI80" s="275"/>
      <c r="AJ80" s="276"/>
    </row>
    <row r="81" spans="1:44">
      <c r="A81" s="274"/>
      <c r="B81" s="275"/>
      <c r="C81" s="275"/>
      <c r="D81" s="275"/>
      <c r="E81" s="275"/>
      <c r="F81" s="275"/>
      <c r="G81" s="275"/>
      <c r="H81" s="275"/>
      <c r="I81" s="275"/>
      <c r="J81" s="275"/>
      <c r="K81" s="275"/>
      <c r="L81" s="275"/>
      <c r="M81" s="275"/>
      <c r="N81" s="275"/>
      <c r="O81" s="275"/>
      <c r="P81" s="275"/>
      <c r="Q81" s="275"/>
      <c r="R81" s="275"/>
      <c r="S81" s="275"/>
      <c r="T81" s="275"/>
      <c r="U81" s="275"/>
      <c r="V81" s="275"/>
      <c r="W81" s="275"/>
      <c r="X81" s="275"/>
      <c r="Y81" s="275"/>
      <c r="Z81" s="275"/>
      <c r="AA81" s="275"/>
      <c r="AB81" s="275"/>
      <c r="AC81" s="275"/>
      <c r="AD81" s="275"/>
      <c r="AE81" s="275"/>
      <c r="AF81" s="275"/>
      <c r="AG81" s="275"/>
      <c r="AH81" s="275"/>
      <c r="AI81" s="275"/>
      <c r="AJ81" s="276"/>
    </row>
    <row r="82" spans="1:44">
      <c r="A82" s="274"/>
      <c r="B82" s="275"/>
      <c r="C82" s="275"/>
      <c r="D82" s="275"/>
      <c r="E82" s="275"/>
      <c r="F82" s="275"/>
      <c r="G82" s="275"/>
      <c r="H82" s="275"/>
      <c r="I82" s="275"/>
      <c r="J82" s="275"/>
      <c r="K82" s="275"/>
      <c r="L82" s="275"/>
      <c r="M82" s="275"/>
      <c r="N82" s="275"/>
      <c r="O82" s="275"/>
      <c r="P82" s="275"/>
      <c r="Q82" s="275"/>
      <c r="R82" s="275"/>
      <c r="S82" s="275"/>
      <c r="T82" s="275"/>
      <c r="U82" s="275"/>
      <c r="V82" s="275"/>
      <c r="W82" s="275"/>
      <c r="X82" s="275"/>
      <c r="Y82" s="275"/>
      <c r="Z82" s="275"/>
      <c r="AA82" s="275"/>
      <c r="AB82" s="275"/>
      <c r="AC82" s="275"/>
      <c r="AD82" s="275"/>
      <c r="AE82" s="275"/>
      <c r="AF82" s="275"/>
      <c r="AG82" s="275"/>
      <c r="AH82" s="275"/>
      <c r="AI82" s="275"/>
      <c r="AJ82" s="276"/>
    </row>
    <row r="83" spans="1:44">
      <c r="A83" s="274"/>
      <c r="B83" s="275"/>
      <c r="C83" s="275"/>
      <c r="D83" s="275"/>
      <c r="E83" s="275"/>
      <c r="F83" s="275"/>
      <c r="G83" s="275"/>
      <c r="H83" s="275"/>
      <c r="I83" s="275"/>
      <c r="J83" s="275"/>
      <c r="K83" s="275"/>
      <c r="L83" s="275"/>
      <c r="M83" s="275"/>
      <c r="N83" s="275"/>
      <c r="O83" s="275"/>
      <c r="P83" s="275"/>
      <c r="Q83" s="275"/>
      <c r="R83" s="275"/>
      <c r="S83" s="275"/>
      <c r="T83" s="275"/>
      <c r="U83" s="275"/>
      <c r="V83" s="275"/>
      <c r="W83" s="275"/>
      <c r="X83" s="275"/>
      <c r="Y83" s="275"/>
      <c r="Z83" s="275"/>
      <c r="AA83" s="275"/>
      <c r="AB83" s="275"/>
      <c r="AC83" s="275"/>
      <c r="AD83" s="275"/>
      <c r="AE83" s="275"/>
      <c r="AF83" s="275"/>
      <c r="AG83" s="275"/>
      <c r="AH83" s="275"/>
      <c r="AI83" s="275"/>
      <c r="AJ83" s="276"/>
    </row>
    <row r="84" spans="1:44">
      <c r="A84" s="274"/>
      <c r="B84" s="275"/>
      <c r="C84" s="275"/>
      <c r="D84" s="275"/>
      <c r="E84" s="275"/>
      <c r="F84" s="275"/>
      <c r="G84" s="275"/>
      <c r="H84" s="275"/>
      <c r="I84" s="275"/>
      <c r="J84" s="275"/>
      <c r="K84" s="275"/>
      <c r="L84" s="275"/>
      <c r="M84" s="275"/>
      <c r="N84" s="275"/>
      <c r="O84" s="275"/>
      <c r="P84" s="275"/>
      <c r="Q84" s="275"/>
      <c r="R84" s="275"/>
      <c r="S84" s="275"/>
      <c r="T84" s="275"/>
      <c r="U84" s="275"/>
      <c r="V84" s="275"/>
      <c r="W84" s="275"/>
      <c r="X84" s="275"/>
      <c r="Y84" s="275"/>
      <c r="Z84" s="275"/>
      <c r="AA84" s="275"/>
      <c r="AB84" s="275"/>
      <c r="AC84" s="275"/>
      <c r="AD84" s="275"/>
      <c r="AE84" s="275"/>
      <c r="AF84" s="275"/>
      <c r="AG84" s="275"/>
      <c r="AH84" s="275"/>
      <c r="AI84" s="275"/>
      <c r="AJ84" s="276"/>
    </row>
    <row r="85" spans="1:44">
      <c r="A85" s="274"/>
      <c r="B85" s="275"/>
      <c r="C85" s="275"/>
      <c r="D85" s="275"/>
      <c r="E85" s="275"/>
      <c r="F85" s="275"/>
      <c r="G85" s="275"/>
      <c r="H85" s="275"/>
      <c r="I85" s="275"/>
      <c r="J85" s="275"/>
      <c r="K85" s="275"/>
      <c r="L85" s="275"/>
      <c r="M85" s="275"/>
      <c r="N85" s="275"/>
      <c r="O85" s="275"/>
      <c r="P85" s="275"/>
      <c r="Q85" s="275"/>
      <c r="R85" s="275"/>
      <c r="S85" s="275"/>
      <c r="T85" s="275"/>
      <c r="U85" s="275"/>
      <c r="V85" s="275"/>
      <c r="W85" s="275"/>
      <c r="X85" s="275"/>
      <c r="Y85" s="275"/>
      <c r="Z85" s="275"/>
      <c r="AA85" s="275"/>
      <c r="AB85" s="275"/>
      <c r="AC85" s="275"/>
      <c r="AD85" s="275"/>
      <c r="AE85" s="275"/>
      <c r="AF85" s="275"/>
      <c r="AG85" s="275"/>
      <c r="AH85" s="275"/>
      <c r="AI85" s="275"/>
      <c r="AJ85" s="276"/>
    </row>
    <row r="86" spans="1:44">
      <c r="A86" s="274"/>
      <c r="B86" s="275"/>
      <c r="C86" s="275"/>
      <c r="D86" s="275"/>
      <c r="E86" s="275"/>
      <c r="F86" s="275"/>
      <c r="G86" s="275"/>
      <c r="H86" s="275"/>
      <c r="I86" s="275"/>
      <c r="J86" s="275"/>
      <c r="K86" s="275"/>
      <c r="L86" s="275"/>
      <c r="M86" s="275"/>
      <c r="N86" s="275"/>
      <c r="O86" s="275"/>
      <c r="P86" s="275"/>
      <c r="Q86" s="275"/>
      <c r="R86" s="275"/>
      <c r="S86" s="275"/>
      <c r="T86" s="275"/>
      <c r="U86" s="275"/>
      <c r="V86" s="275"/>
      <c r="W86" s="275"/>
      <c r="X86" s="275"/>
      <c r="Y86" s="275"/>
      <c r="Z86" s="275"/>
      <c r="AA86" s="275"/>
      <c r="AB86" s="275"/>
      <c r="AC86" s="275"/>
      <c r="AD86" s="275"/>
      <c r="AE86" s="275"/>
      <c r="AF86" s="275"/>
      <c r="AG86" s="275"/>
      <c r="AH86" s="275"/>
      <c r="AI86" s="275"/>
      <c r="AJ86" s="276"/>
    </row>
    <row r="87" spans="1:44" ht="93.95" customHeight="1">
      <c r="A87" s="277"/>
      <c r="B87" s="278"/>
      <c r="C87" s="278"/>
      <c r="D87" s="278"/>
      <c r="E87" s="278"/>
      <c r="F87" s="278"/>
      <c r="G87" s="278"/>
      <c r="H87" s="278"/>
      <c r="I87" s="278"/>
      <c r="J87" s="278"/>
      <c r="K87" s="278"/>
      <c r="L87" s="278"/>
      <c r="M87" s="278"/>
      <c r="N87" s="278"/>
      <c r="O87" s="278"/>
      <c r="P87" s="278"/>
      <c r="Q87" s="278"/>
      <c r="R87" s="278"/>
      <c r="S87" s="278"/>
      <c r="T87" s="278"/>
      <c r="U87" s="278"/>
      <c r="V87" s="278"/>
      <c r="W87" s="278"/>
      <c r="X87" s="278"/>
      <c r="Y87" s="278"/>
      <c r="Z87" s="278"/>
      <c r="AA87" s="278"/>
      <c r="AB87" s="278"/>
      <c r="AC87" s="278"/>
      <c r="AD87" s="278"/>
      <c r="AE87" s="278"/>
      <c r="AF87" s="278"/>
      <c r="AG87" s="278"/>
      <c r="AH87" s="278"/>
      <c r="AI87" s="278"/>
      <c r="AJ87" s="279"/>
    </row>
    <row r="89" spans="1:44" ht="30" customHeight="1">
      <c r="A89" s="199" t="s">
        <v>1872</v>
      </c>
      <c r="B89" s="199"/>
      <c r="C89" s="199"/>
      <c r="D89" s="199"/>
      <c r="E89" s="199"/>
      <c r="F89" s="199"/>
      <c r="G89" s="199"/>
      <c r="H89" s="199"/>
      <c r="I89" s="199"/>
      <c r="J89" s="199"/>
      <c r="K89" s="199"/>
      <c r="L89" s="199"/>
      <c r="M89" s="199"/>
      <c r="N89" s="199"/>
      <c r="O89" s="199"/>
      <c r="P89" s="199"/>
      <c r="Q89" s="199"/>
      <c r="R89" s="199"/>
      <c r="S89" s="199"/>
      <c r="T89" s="199"/>
      <c r="U89" s="199"/>
      <c r="V89" s="199"/>
      <c r="W89" s="199"/>
      <c r="X89" s="199"/>
      <c r="Y89" s="199"/>
      <c r="Z89" s="199"/>
      <c r="AA89" s="199"/>
      <c r="AB89" s="199"/>
      <c r="AC89" s="199"/>
      <c r="AD89" s="199"/>
      <c r="AE89" s="199"/>
      <c r="AF89" s="199"/>
      <c r="AG89" s="199"/>
      <c r="AH89" s="199"/>
      <c r="AI89" s="199"/>
      <c r="AJ89" s="199"/>
      <c r="AK89" s="199"/>
      <c r="AL89" s="199"/>
      <c r="AM89" s="199"/>
      <c r="AN89" s="199"/>
      <c r="AO89" s="199"/>
    </row>
    <row r="90" spans="1:44" ht="24" customHeight="1">
      <c r="A90" s="262" t="s">
        <v>1315</v>
      </c>
      <c r="B90" s="262"/>
      <c r="C90" s="262"/>
      <c r="D90" s="262"/>
      <c r="E90" s="262"/>
      <c r="F90" s="262"/>
      <c r="G90" s="262"/>
      <c r="H90" s="262"/>
      <c r="I90" s="262"/>
      <c r="J90" s="262"/>
      <c r="K90" s="262"/>
      <c r="L90" s="262"/>
      <c r="M90" s="262"/>
      <c r="N90" s="262"/>
      <c r="O90" s="262"/>
      <c r="P90" s="262"/>
      <c r="Q90" s="262"/>
      <c r="R90" s="262"/>
      <c r="S90" s="262"/>
      <c r="T90" s="262"/>
      <c r="U90" s="262"/>
      <c r="V90" s="262"/>
      <c r="W90" s="262"/>
      <c r="X90" s="262"/>
      <c r="Y90" s="262"/>
      <c r="Z90" s="262"/>
      <c r="AA90" s="262"/>
      <c r="AB90" s="262"/>
      <c r="AC90" s="262"/>
      <c r="AD90" s="262"/>
      <c r="AE90" s="262"/>
      <c r="AF90" s="262"/>
      <c r="AG90" s="262"/>
      <c r="AH90" s="262"/>
      <c r="AI90" s="262"/>
      <c r="AJ90" s="262"/>
      <c r="AK90" s="262"/>
      <c r="AL90" s="262"/>
      <c r="AM90" s="262"/>
      <c r="AN90" s="262"/>
    </row>
    <row r="91" spans="1:44" ht="45.75" customHeight="1">
      <c r="A91" s="262"/>
      <c r="B91" s="262"/>
      <c r="C91" s="262"/>
      <c r="D91" s="262"/>
      <c r="E91" s="262"/>
      <c r="F91" s="262"/>
      <c r="G91" s="262"/>
      <c r="H91" s="262"/>
      <c r="I91" s="262"/>
      <c r="J91" s="262"/>
      <c r="K91" s="262"/>
      <c r="L91" s="262"/>
      <c r="M91" s="262"/>
      <c r="N91" s="262"/>
      <c r="O91" s="262"/>
      <c r="P91" s="262"/>
      <c r="Q91" s="262"/>
      <c r="R91" s="262"/>
      <c r="S91" s="262"/>
      <c r="T91" s="262"/>
      <c r="U91" s="262"/>
      <c r="V91" s="262"/>
      <c r="W91" s="262"/>
      <c r="X91" s="262"/>
      <c r="Y91" s="262"/>
      <c r="Z91" s="262"/>
      <c r="AA91" s="262"/>
      <c r="AB91" s="262"/>
      <c r="AC91" s="262"/>
      <c r="AD91" s="262"/>
      <c r="AE91" s="262"/>
      <c r="AF91" s="262"/>
      <c r="AG91" s="262"/>
      <c r="AH91" s="262"/>
      <c r="AI91" s="262"/>
      <c r="AJ91" s="262"/>
      <c r="AK91" s="262"/>
      <c r="AL91" s="262"/>
      <c r="AM91" s="262"/>
      <c r="AN91" s="262"/>
    </row>
    <row r="93" spans="1:44" ht="71.45" customHeight="1">
      <c r="A93" s="381" t="s">
        <v>43</v>
      </c>
      <c r="B93" s="382"/>
      <c r="C93" s="382"/>
      <c r="D93" s="382"/>
      <c r="E93" s="382"/>
      <c r="F93" s="382"/>
      <c r="G93" s="382"/>
      <c r="H93" s="382"/>
      <c r="I93" s="133" t="s">
        <v>1390</v>
      </c>
      <c r="J93" s="134"/>
      <c r="K93" s="134"/>
      <c r="L93" s="134"/>
      <c r="M93" s="134"/>
      <c r="N93" s="134"/>
      <c r="O93" s="134"/>
      <c r="P93" s="134"/>
      <c r="Q93" s="362"/>
      <c r="R93" s="382" t="s">
        <v>46</v>
      </c>
      <c r="S93" s="382"/>
      <c r="T93" s="382"/>
      <c r="U93" s="382"/>
      <c r="V93" s="382"/>
      <c r="W93" s="383"/>
      <c r="X93" s="133" t="s">
        <v>1445</v>
      </c>
      <c r="Y93" s="196"/>
      <c r="Z93" s="196"/>
      <c r="AA93" s="196"/>
      <c r="AB93" s="197"/>
      <c r="AC93" s="372" t="s">
        <v>45</v>
      </c>
      <c r="AD93" s="373"/>
      <c r="AE93" s="373"/>
      <c r="AF93" s="373"/>
      <c r="AG93" s="373"/>
      <c r="AH93" s="373"/>
      <c r="AI93" s="373"/>
      <c r="AJ93" s="374"/>
      <c r="AK93" s="372" t="s">
        <v>44</v>
      </c>
      <c r="AL93" s="373"/>
      <c r="AM93" s="373"/>
      <c r="AN93" s="373"/>
      <c r="AO93" s="373"/>
      <c r="AP93" s="373"/>
      <c r="AQ93" s="373"/>
      <c r="AR93" s="374"/>
    </row>
    <row r="94" spans="1:44" ht="111.95" customHeight="1">
      <c r="A94" s="394"/>
      <c r="B94" s="395"/>
      <c r="C94" s="395"/>
      <c r="D94" s="395"/>
      <c r="E94" s="395"/>
      <c r="F94" s="395"/>
      <c r="G94" s="395"/>
      <c r="H94" s="395"/>
      <c r="I94" s="394"/>
      <c r="J94" s="395"/>
      <c r="K94" s="395"/>
      <c r="L94" s="395"/>
      <c r="M94" s="395"/>
      <c r="N94" s="395"/>
      <c r="O94" s="395"/>
      <c r="P94" s="395"/>
      <c r="Q94" s="396"/>
      <c r="R94" s="395"/>
      <c r="S94" s="395"/>
      <c r="T94" s="395"/>
      <c r="U94" s="395"/>
      <c r="V94" s="395"/>
      <c r="W94" s="396"/>
      <c r="X94" s="391"/>
      <c r="Y94" s="392"/>
      <c r="Z94" s="392"/>
      <c r="AA94" s="392"/>
      <c r="AB94" s="393"/>
      <c r="AC94" s="386"/>
      <c r="AD94" s="387"/>
      <c r="AE94" s="387"/>
      <c r="AF94" s="387"/>
      <c r="AG94" s="387"/>
      <c r="AH94" s="387"/>
      <c r="AI94" s="387"/>
      <c r="AJ94" s="388"/>
      <c r="AK94" s="386"/>
      <c r="AL94" s="387"/>
      <c r="AM94" s="387"/>
      <c r="AN94" s="387"/>
      <c r="AO94" s="387"/>
      <c r="AP94" s="387"/>
      <c r="AQ94" s="387"/>
      <c r="AR94" s="388"/>
    </row>
    <row r="95" spans="1:44" ht="111.95" customHeight="1">
      <c r="A95" s="394"/>
      <c r="B95" s="395"/>
      <c r="C95" s="395"/>
      <c r="D95" s="395"/>
      <c r="E95" s="395"/>
      <c r="F95" s="395"/>
      <c r="G95" s="395"/>
      <c r="H95" s="395"/>
      <c r="I95" s="394"/>
      <c r="J95" s="395"/>
      <c r="K95" s="395"/>
      <c r="L95" s="395"/>
      <c r="M95" s="395"/>
      <c r="N95" s="395"/>
      <c r="O95" s="395"/>
      <c r="P95" s="395"/>
      <c r="Q95" s="396"/>
      <c r="R95" s="395"/>
      <c r="S95" s="395"/>
      <c r="T95" s="395"/>
      <c r="U95" s="395"/>
      <c r="V95" s="395"/>
      <c r="W95" s="396"/>
      <c r="X95" s="391"/>
      <c r="Y95" s="392"/>
      <c r="Z95" s="392"/>
      <c r="AA95" s="392"/>
      <c r="AB95" s="393"/>
      <c r="AC95" s="386"/>
      <c r="AD95" s="387"/>
      <c r="AE95" s="387"/>
      <c r="AF95" s="387"/>
      <c r="AG95" s="387"/>
      <c r="AH95" s="387"/>
      <c r="AI95" s="387"/>
      <c r="AJ95" s="388"/>
      <c r="AK95" s="386"/>
      <c r="AL95" s="387"/>
      <c r="AM95" s="387"/>
      <c r="AN95" s="387"/>
      <c r="AO95" s="387"/>
      <c r="AP95" s="387"/>
      <c r="AQ95" s="387"/>
      <c r="AR95" s="388"/>
    </row>
    <row r="96" spans="1:44" ht="111.95" customHeight="1">
      <c r="A96" s="394"/>
      <c r="B96" s="395"/>
      <c r="C96" s="395"/>
      <c r="D96" s="395"/>
      <c r="E96" s="395"/>
      <c r="F96" s="395"/>
      <c r="G96" s="395"/>
      <c r="H96" s="395"/>
      <c r="I96" s="394"/>
      <c r="J96" s="395"/>
      <c r="K96" s="395"/>
      <c r="L96" s="395"/>
      <c r="M96" s="395"/>
      <c r="N96" s="395"/>
      <c r="O96" s="395"/>
      <c r="P96" s="395"/>
      <c r="Q96" s="396"/>
      <c r="R96" s="395"/>
      <c r="S96" s="395"/>
      <c r="T96" s="395"/>
      <c r="U96" s="395"/>
      <c r="V96" s="395"/>
      <c r="W96" s="396"/>
      <c r="X96" s="391"/>
      <c r="Y96" s="392"/>
      <c r="Z96" s="392"/>
      <c r="AA96" s="392"/>
      <c r="AB96" s="393"/>
      <c r="AC96" s="386"/>
      <c r="AD96" s="387"/>
      <c r="AE96" s="387"/>
      <c r="AF96" s="387"/>
      <c r="AG96" s="387"/>
      <c r="AH96" s="387"/>
      <c r="AI96" s="387"/>
      <c r="AJ96" s="388"/>
      <c r="AK96" s="386"/>
      <c r="AL96" s="387"/>
      <c r="AM96" s="387"/>
      <c r="AN96" s="387"/>
      <c r="AO96" s="387"/>
      <c r="AP96" s="387"/>
      <c r="AQ96" s="387"/>
      <c r="AR96" s="388"/>
    </row>
    <row r="98" spans="1:44" ht="30" customHeight="1">
      <c r="A98" s="198" t="s">
        <v>1866</v>
      </c>
      <c r="B98" s="198"/>
      <c r="C98" s="198"/>
      <c r="D98" s="198"/>
      <c r="E98" s="198"/>
      <c r="F98" s="198"/>
      <c r="G98" s="198"/>
      <c r="H98" s="198"/>
      <c r="I98" s="198"/>
      <c r="J98" s="198"/>
      <c r="K98" s="198"/>
      <c r="L98" s="198"/>
      <c r="M98" s="198"/>
      <c r="N98" s="198"/>
      <c r="O98" s="198"/>
      <c r="P98" s="198"/>
      <c r="Q98" s="198"/>
      <c r="R98" s="198"/>
      <c r="S98" s="198"/>
      <c r="T98" s="198"/>
      <c r="U98" s="198"/>
      <c r="V98" s="198"/>
      <c r="W98" s="198"/>
      <c r="X98" s="198"/>
      <c r="Y98" s="198"/>
      <c r="Z98" s="198"/>
      <c r="AA98" s="198"/>
      <c r="AB98" s="198"/>
      <c r="AC98" s="198"/>
      <c r="AD98" s="198"/>
      <c r="AE98" s="198"/>
      <c r="AF98" s="198"/>
      <c r="AG98" s="198"/>
      <c r="AH98" s="198"/>
      <c r="AI98" s="198"/>
      <c r="AJ98" s="198"/>
      <c r="AK98" s="198"/>
      <c r="AL98" s="198"/>
      <c r="AM98" s="198"/>
      <c r="AN98" s="198"/>
      <c r="AO98" s="198"/>
    </row>
    <row r="99" spans="1:44" ht="26.25" customHeight="1">
      <c r="A99" s="262" t="s">
        <v>1419</v>
      </c>
      <c r="B99" s="262"/>
      <c r="C99" s="262"/>
      <c r="D99" s="262"/>
      <c r="E99" s="262"/>
      <c r="F99" s="262"/>
      <c r="G99" s="262"/>
      <c r="H99" s="262"/>
      <c r="I99" s="262"/>
      <c r="J99" s="262"/>
      <c r="K99" s="262"/>
      <c r="L99" s="262"/>
      <c r="M99" s="262"/>
      <c r="N99" s="262"/>
      <c r="O99" s="262"/>
      <c r="P99" s="262"/>
      <c r="Q99" s="262"/>
      <c r="R99" s="262"/>
      <c r="S99" s="262"/>
      <c r="T99" s="262"/>
      <c r="U99" s="262"/>
      <c r="V99" s="262"/>
      <c r="W99" s="262"/>
      <c r="X99" s="262"/>
      <c r="Y99" s="262"/>
      <c r="Z99" s="262"/>
      <c r="AA99" s="262"/>
      <c r="AB99" s="262"/>
      <c r="AC99" s="262"/>
      <c r="AD99" s="262"/>
      <c r="AE99" s="262"/>
      <c r="AF99" s="262"/>
      <c r="AG99" s="262"/>
      <c r="AH99" s="262"/>
      <c r="AI99" s="262"/>
      <c r="AJ99" s="262"/>
      <c r="AK99" s="262"/>
      <c r="AL99" s="262"/>
      <c r="AM99" s="262"/>
      <c r="AN99" s="262"/>
      <c r="AO99" s="262"/>
      <c r="AP99" s="262"/>
      <c r="AQ99" s="262"/>
      <c r="AR99" s="262"/>
    </row>
    <row r="100" spans="1:44" ht="26.25" customHeight="1">
      <c r="A100" s="262"/>
      <c r="B100" s="262"/>
      <c r="C100" s="262"/>
      <c r="D100" s="262"/>
      <c r="E100" s="262"/>
      <c r="F100" s="262"/>
      <c r="G100" s="262"/>
      <c r="H100" s="262"/>
      <c r="I100" s="262"/>
      <c r="J100" s="262"/>
      <c r="K100" s="262"/>
      <c r="L100" s="262"/>
      <c r="M100" s="262"/>
      <c r="N100" s="262"/>
      <c r="O100" s="262"/>
      <c r="P100" s="262"/>
      <c r="Q100" s="262"/>
      <c r="R100" s="262"/>
      <c r="S100" s="262"/>
      <c r="T100" s="262"/>
      <c r="U100" s="262"/>
      <c r="V100" s="262"/>
      <c r="W100" s="262"/>
      <c r="X100" s="262"/>
      <c r="Y100" s="262"/>
      <c r="Z100" s="262"/>
      <c r="AA100" s="262"/>
      <c r="AB100" s="262"/>
      <c r="AC100" s="262"/>
      <c r="AD100" s="262"/>
      <c r="AE100" s="262"/>
      <c r="AF100" s="262"/>
      <c r="AG100" s="262"/>
      <c r="AH100" s="262"/>
      <c r="AI100" s="262"/>
      <c r="AJ100" s="262"/>
      <c r="AK100" s="262"/>
      <c r="AL100" s="262"/>
      <c r="AM100" s="262"/>
      <c r="AN100" s="262"/>
      <c r="AO100" s="262"/>
      <c r="AP100" s="262"/>
      <c r="AQ100" s="262"/>
      <c r="AR100" s="262"/>
    </row>
    <row r="102" spans="1:44" ht="45.75" customHeight="1">
      <c r="A102" s="333" t="s">
        <v>47</v>
      </c>
      <c r="B102" s="333"/>
      <c r="C102" s="333"/>
      <c r="D102" s="333"/>
      <c r="E102" s="333"/>
      <c r="F102" s="333"/>
      <c r="G102" s="333"/>
      <c r="H102" s="333"/>
      <c r="I102" s="390"/>
      <c r="J102" s="390"/>
      <c r="K102" s="390"/>
      <c r="L102" s="390"/>
      <c r="M102" s="390"/>
      <c r="N102" s="390"/>
      <c r="O102" s="390"/>
      <c r="P102" s="390"/>
      <c r="Q102" s="390"/>
      <c r="R102" s="390"/>
      <c r="S102" s="390"/>
      <c r="T102" s="390"/>
      <c r="U102" s="390"/>
      <c r="V102" s="390"/>
      <c r="W102" s="390"/>
      <c r="X102" s="390"/>
      <c r="Y102" s="390"/>
      <c r="Z102" s="390"/>
      <c r="AA102" s="390"/>
      <c r="AB102" s="390"/>
      <c r="AC102" s="390"/>
      <c r="AD102" s="390"/>
      <c r="AE102" s="390"/>
      <c r="AF102" s="390"/>
      <c r="AG102" s="390"/>
      <c r="AH102" s="390"/>
      <c r="AI102" s="60"/>
      <c r="AJ102" s="60"/>
    </row>
    <row r="103" spans="1:44" ht="45.75" customHeight="1">
      <c r="A103" s="390"/>
      <c r="B103" s="390"/>
      <c r="C103" s="390"/>
      <c r="D103" s="390"/>
      <c r="E103" s="390"/>
      <c r="F103" s="390"/>
      <c r="G103" s="390"/>
      <c r="H103" s="390"/>
      <c r="I103" s="390"/>
      <c r="J103" s="390"/>
      <c r="K103" s="390"/>
      <c r="L103" s="390"/>
      <c r="M103" s="390"/>
      <c r="N103" s="390"/>
      <c r="O103" s="390"/>
      <c r="P103" s="390"/>
      <c r="Q103" s="390"/>
      <c r="R103" s="390"/>
      <c r="S103" s="390"/>
      <c r="T103" s="390"/>
      <c r="U103" s="390"/>
      <c r="V103" s="390"/>
      <c r="W103" s="390"/>
      <c r="X103" s="390"/>
      <c r="Y103" s="390"/>
      <c r="Z103" s="390"/>
      <c r="AA103" s="390"/>
      <c r="AB103" s="390"/>
      <c r="AC103" s="390"/>
      <c r="AD103" s="390"/>
      <c r="AE103" s="390"/>
      <c r="AF103" s="390"/>
      <c r="AG103" s="390"/>
      <c r="AH103" s="390"/>
      <c r="AI103" s="60"/>
      <c r="AJ103" s="60"/>
    </row>
    <row r="104" spans="1:44" ht="45.75" customHeight="1">
      <c r="A104" s="52" t="s">
        <v>1420</v>
      </c>
    </row>
    <row r="105" spans="1:44" ht="45.75" customHeight="1">
      <c r="A105" s="333" t="s">
        <v>48</v>
      </c>
      <c r="B105" s="333"/>
      <c r="C105" s="333"/>
      <c r="D105" s="333"/>
      <c r="E105" s="333"/>
      <c r="F105" s="333"/>
      <c r="G105" s="390"/>
      <c r="H105" s="390"/>
      <c r="I105" s="390"/>
      <c r="J105" s="390"/>
      <c r="K105" s="390"/>
      <c r="L105" s="390"/>
      <c r="M105" s="390"/>
      <c r="N105" s="390"/>
      <c r="O105" s="390"/>
      <c r="P105" s="390"/>
      <c r="Q105" s="390"/>
      <c r="R105" s="390"/>
      <c r="S105" s="390"/>
      <c r="T105" s="390"/>
      <c r="U105" s="390"/>
      <c r="V105" s="390"/>
      <c r="W105" s="390"/>
      <c r="X105" s="390"/>
      <c r="Y105" s="390"/>
      <c r="Z105" s="390"/>
      <c r="AA105" s="390"/>
      <c r="AB105" s="390"/>
      <c r="AC105" s="390"/>
      <c r="AD105" s="390"/>
      <c r="AE105" s="390"/>
      <c r="AF105" s="390"/>
      <c r="AG105" s="390"/>
      <c r="AH105" s="390"/>
      <c r="AI105" s="390"/>
      <c r="AJ105" s="390"/>
    </row>
    <row r="106" spans="1:44" ht="45.75" customHeight="1">
      <c r="A106" s="333" t="s">
        <v>50</v>
      </c>
      <c r="B106" s="333"/>
      <c r="C106" s="333"/>
      <c r="D106" s="333"/>
      <c r="E106" s="333"/>
      <c r="F106" s="333"/>
      <c r="G106" s="389"/>
      <c r="H106" s="389"/>
      <c r="I106" s="389"/>
      <c r="J106" s="389"/>
      <c r="K106" s="389"/>
      <c r="L106" s="389"/>
      <c r="M106" s="389"/>
      <c r="N106" s="389"/>
      <c r="O106" s="389"/>
      <c r="P106" s="389"/>
      <c r="Q106" s="389"/>
      <c r="R106" s="389"/>
      <c r="S106" s="389"/>
      <c r="T106" s="389"/>
      <c r="U106" s="389"/>
      <c r="V106" s="389"/>
      <c r="W106" s="389"/>
      <c r="X106" s="389"/>
      <c r="Y106" s="389"/>
      <c r="Z106" s="389"/>
      <c r="AA106" s="389"/>
      <c r="AB106" s="389"/>
      <c r="AC106" s="389"/>
      <c r="AD106" s="389"/>
      <c r="AE106" s="389"/>
      <c r="AF106" s="389"/>
      <c r="AG106" s="389"/>
      <c r="AH106" s="389"/>
      <c r="AI106" s="389"/>
      <c r="AJ106" s="389"/>
    </row>
    <row r="107" spans="1:44" ht="45.75" customHeight="1">
      <c r="A107" s="333" t="s">
        <v>49</v>
      </c>
      <c r="B107" s="333"/>
      <c r="C107" s="333"/>
      <c r="D107" s="333"/>
      <c r="E107" s="333"/>
      <c r="F107" s="333"/>
      <c r="G107" s="389"/>
      <c r="H107" s="389"/>
      <c r="I107" s="389"/>
      <c r="J107" s="389"/>
      <c r="K107" s="389"/>
      <c r="L107" s="389"/>
      <c r="M107" s="389"/>
      <c r="N107" s="389"/>
      <c r="O107" s="389"/>
      <c r="P107" s="389"/>
      <c r="Q107" s="389"/>
      <c r="R107" s="389"/>
      <c r="S107" s="389"/>
      <c r="T107" s="389"/>
      <c r="U107" s="389"/>
      <c r="V107" s="389"/>
      <c r="W107" s="389"/>
      <c r="X107" s="389"/>
      <c r="Y107" s="389"/>
      <c r="Z107" s="389"/>
      <c r="AA107" s="389"/>
      <c r="AB107" s="389"/>
      <c r="AC107" s="389"/>
      <c r="AD107" s="389"/>
      <c r="AE107" s="389"/>
      <c r="AF107" s="389"/>
      <c r="AG107" s="389"/>
      <c r="AH107" s="389"/>
      <c r="AI107" s="389"/>
      <c r="AJ107" s="389"/>
    </row>
    <row r="108" spans="1:44" ht="45.75" customHeight="1">
      <c r="A108" s="52" t="s">
        <v>51</v>
      </c>
      <c r="G108" s="389"/>
      <c r="H108" s="389"/>
      <c r="I108" s="389"/>
      <c r="J108" s="389"/>
      <c r="K108" s="389"/>
      <c r="L108" s="389"/>
      <c r="M108" s="389"/>
      <c r="N108" s="389"/>
      <c r="O108" s="389"/>
      <c r="P108" s="389"/>
      <c r="Q108" s="389"/>
      <c r="R108" s="389"/>
      <c r="S108" s="389"/>
      <c r="T108" s="389"/>
      <c r="U108" s="389"/>
      <c r="V108" s="389"/>
      <c r="W108" s="389"/>
      <c r="X108" s="389"/>
      <c r="Y108" s="389"/>
      <c r="Z108" s="389"/>
      <c r="AA108" s="389"/>
      <c r="AB108" s="389"/>
      <c r="AC108" s="389"/>
      <c r="AD108" s="389"/>
      <c r="AE108" s="389"/>
      <c r="AF108" s="389"/>
      <c r="AG108" s="389"/>
      <c r="AH108" s="389"/>
      <c r="AI108" s="389"/>
      <c r="AJ108" s="389"/>
    </row>
    <row r="110" spans="1:44" ht="30" customHeight="1">
      <c r="A110" s="199" t="s">
        <v>52</v>
      </c>
      <c r="B110" s="199"/>
      <c r="C110" s="199"/>
      <c r="D110" s="199"/>
      <c r="E110" s="199"/>
      <c r="F110" s="199"/>
      <c r="G110" s="199"/>
      <c r="H110" s="199"/>
      <c r="I110" s="199"/>
      <c r="J110" s="199"/>
      <c r="K110" s="199"/>
      <c r="L110" s="199"/>
      <c r="M110" s="199"/>
      <c r="N110" s="199"/>
      <c r="O110" s="199"/>
      <c r="P110" s="199"/>
      <c r="Q110" s="199"/>
      <c r="R110" s="199"/>
      <c r="S110" s="199"/>
      <c r="T110" s="199"/>
      <c r="U110" s="199"/>
      <c r="V110" s="199"/>
      <c r="W110" s="199"/>
      <c r="X110" s="199"/>
      <c r="Y110" s="199"/>
      <c r="Z110" s="199"/>
      <c r="AA110" s="199"/>
      <c r="AB110" s="199"/>
      <c r="AC110" s="199"/>
      <c r="AD110" s="199"/>
      <c r="AE110" s="199"/>
      <c r="AF110" s="199"/>
      <c r="AG110" s="199"/>
      <c r="AH110" s="199"/>
      <c r="AI110" s="199"/>
      <c r="AJ110" s="199"/>
      <c r="AK110" s="199"/>
      <c r="AL110" s="199"/>
      <c r="AM110" s="199"/>
      <c r="AN110" s="199"/>
      <c r="AO110" s="199"/>
    </row>
    <row r="111" spans="1:44">
      <c r="A111" s="378" t="s">
        <v>1421</v>
      </c>
      <c r="B111" s="378"/>
      <c r="C111" s="378"/>
      <c r="D111" s="378"/>
      <c r="E111" s="378"/>
      <c r="F111" s="378"/>
      <c r="G111" s="378"/>
      <c r="H111" s="378"/>
      <c r="I111" s="378"/>
      <c r="J111" s="378"/>
      <c r="K111" s="378"/>
      <c r="L111" s="378"/>
      <c r="M111" s="378"/>
      <c r="N111" s="378"/>
      <c r="O111" s="378"/>
      <c r="P111" s="378"/>
      <c r="Q111" s="378"/>
      <c r="R111" s="378"/>
      <c r="S111" s="378"/>
      <c r="T111" s="378"/>
      <c r="U111" s="378"/>
      <c r="V111" s="378"/>
      <c r="W111" s="378"/>
      <c r="X111" s="378"/>
      <c r="Y111" s="378"/>
      <c r="Z111" s="378"/>
      <c r="AA111" s="378"/>
      <c r="AB111" s="378"/>
      <c r="AC111" s="378"/>
      <c r="AD111" s="378"/>
      <c r="AE111" s="378"/>
      <c r="AF111" s="378"/>
      <c r="AG111" s="378"/>
      <c r="AH111" s="378"/>
      <c r="AI111" s="378"/>
      <c r="AJ111" s="378"/>
      <c r="AK111" s="378"/>
      <c r="AL111" s="378"/>
      <c r="AM111" s="378"/>
      <c r="AN111" s="378"/>
    </row>
    <row r="112" spans="1:44" ht="19.5" customHeight="1">
      <c r="A112" s="378"/>
      <c r="B112" s="378"/>
      <c r="C112" s="378"/>
      <c r="D112" s="378"/>
      <c r="E112" s="378"/>
      <c r="F112" s="378"/>
      <c r="G112" s="378"/>
      <c r="H112" s="378"/>
      <c r="I112" s="378"/>
      <c r="J112" s="378"/>
      <c r="K112" s="378"/>
      <c r="L112" s="378"/>
      <c r="M112" s="378"/>
      <c r="N112" s="378"/>
      <c r="O112" s="378"/>
      <c r="P112" s="378"/>
      <c r="Q112" s="378"/>
      <c r="R112" s="378"/>
      <c r="S112" s="378"/>
      <c r="T112" s="378"/>
      <c r="U112" s="378"/>
      <c r="V112" s="378"/>
      <c r="W112" s="378"/>
      <c r="X112" s="378"/>
      <c r="Y112" s="378"/>
      <c r="Z112" s="378"/>
      <c r="AA112" s="378"/>
      <c r="AB112" s="378"/>
      <c r="AC112" s="378"/>
      <c r="AD112" s="378"/>
      <c r="AE112" s="378"/>
      <c r="AF112" s="378"/>
      <c r="AG112" s="378"/>
      <c r="AH112" s="378"/>
      <c r="AI112" s="378"/>
      <c r="AJ112" s="378"/>
      <c r="AK112" s="378"/>
      <c r="AL112" s="378"/>
      <c r="AM112" s="378"/>
      <c r="AN112" s="378"/>
    </row>
    <row r="113" spans="1:40" ht="19.5" customHeight="1">
      <c r="A113" s="378"/>
      <c r="B113" s="378"/>
      <c r="C113" s="378"/>
      <c r="D113" s="378"/>
      <c r="E113" s="378"/>
      <c r="F113" s="378"/>
      <c r="G113" s="378"/>
      <c r="H113" s="378"/>
      <c r="I113" s="378"/>
      <c r="J113" s="378"/>
      <c r="K113" s="378"/>
      <c r="L113" s="378"/>
      <c r="M113" s="378"/>
      <c r="N113" s="378"/>
      <c r="O113" s="378"/>
      <c r="P113" s="378"/>
      <c r="Q113" s="378"/>
      <c r="R113" s="378"/>
      <c r="S113" s="378"/>
      <c r="T113" s="378"/>
      <c r="U113" s="378"/>
      <c r="V113" s="378"/>
      <c r="W113" s="378"/>
      <c r="X113" s="378"/>
      <c r="Y113" s="378"/>
      <c r="Z113" s="378"/>
      <c r="AA113" s="378"/>
      <c r="AB113" s="378"/>
      <c r="AC113" s="378"/>
      <c r="AD113" s="378"/>
      <c r="AE113" s="378"/>
      <c r="AF113" s="378"/>
      <c r="AG113" s="378"/>
      <c r="AH113" s="378"/>
      <c r="AI113" s="378"/>
      <c r="AJ113" s="378"/>
      <c r="AK113" s="378"/>
      <c r="AL113" s="378"/>
      <c r="AM113" s="378"/>
      <c r="AN113" s="378"/>
    </row>
    <row r="115" spans="1:40" ht="42.75" customHeight="1">
      <c r="A115" s="352" t="s">
        <v>53</v>
      </c>
      <c r="B115" s="352"/>
      <c r="C115" s="352"/>
      <c r="D115" s="352"/>
      <c r="E115" s="352"/>
      <c r="F115" s="352"/>
      <c r="G115" s="352"/>
      <c r="H115" s="352"/>
      <c r="I115" s="352"/>
      <c r="J115" s="352"/>
      <c r="K115" s="400" t="s">
        <v>54</v>
      </c>
      <c r="L115" s="400"/>
      <c r="M115" s="400"/>
      <c r="N115" s="400"/>
      <c r="O115" s="400"/>
      <c r="P115" s="400"/>
      <c r="Q115" s="400"/>
      <c r="R115" s="400"/>
      <c r="S115" s="400"/>
      <c r="T115" s="400"/>
      <c r="U115" s="400"/>
      <c r="V115" s="400"/>
      <c r="W115" s="400"/>
      <c r="X115" s="400"/>
      <c r="Y115" s="400" t="s">
        <v>55</v>
      </c>
      <c r="Z115" s="400"/>
      <c r="AA115" s="400"/>
      <c r="AB115" s="400"/>
      <c r="AC115" s="400"/>
      <c r="AD115" s="400"/>
      <c r="AE115" s="400"/>
      <c r="AF115" s="401" t="s">
        <v>56</v>
      </c>
      <c r="AG115" s="401"/>
      <c r="AH115" s="401"/>
      <c r="AI115" s="401"/>
      <c r="AJ115" s="401"/>
      <c r="AK115" s="401"/>
      <c r="AL115" s="63"/>
      <c r="AM115" s="63"/>
      <c r="AN115" s="63"/>
    </row>
    <row r="116" spans="1:40" ht="58.5" customHeight="1">
      <c r="A116" s="397"/>
      <c r="B116" s="397"/>
      <c r="C116" s="397"/>
      <c r="D116" s="397"/>
      <c r="E116" s="397"/>
      <c r="F116" s="397"/>
      <c r="G116" s="397"/>
      <c r="H116" s="397"/>
      <c r="I116" s="397"/>
      <c r="J116" s="397"/>
      <c r="K116" s="399"/>
      <c r="L116" s="399"/>
      <c r="M116" s="399"/>
      <c r="N116" s="399"/>
      <c r="O116" s="399"/>
      <c r="P116" s="399"/>
      <c r="Q116" s="399"/>
      <c r="R116" s="399"/>
      <c r="S116" s="399"/>
      <c r="T116" s="399"/>
      <c r="U116" s="399"/>
      <c r="V116" s="399"/>
      <c r="W116" s="399"/>
      <c r="X116" s="399"/>
      <c r="Y116" s="397"/>
      <c r="Z116" s="397"/>
      <c r="AA116" s="397"/>
      <c r="AB116" s="397"/>
      <c r="AC116" s="397"/>
      <c r="AD116" s="397"/>
      <c r="AE116" s="397"/>
      <c r="AF116" s="397"/>
      <c r="AG116" s="397"/>
      <c r="AH116" s="397"/>
      <c r="AI116" s="397"/>
      <c r="AJ116" s="397"/>
      <c r="AK116" s="397"/>
      <c r="AL116" s="398"/>
      <c r="AM116" s="398"/>
      <c r="AN116" s="398"/>
    </row>
    <row r="117" spans="1:40" ht="58.5" customHeight="1">
      <c r="A117" s="397"/>
      <c r="B117" s="397"/>
      <c r="C117" s="397"/>
      <c r="D117" s="397"/>
      <c r="E117" s="397"/>
      <c r="F117" s="397"/>
      <c r="G117" s="397"/>
      <c r="H117" s="397"/>
      <c r="I117" s="397"/>
      <c r="J117" s="397"/>
      <c r="K117" s="399"/>
      <c r="L117" s="399"/>
      <c r="M117" s="399"/>
      <c r="N117" s="399"/>
      <c r="O117" s="399"/>
      <c r="P117" s="399"/>
      <c r="Q117" s="399"/>
      <c r="R117" s="399"/>
      <c r="S117" s="399"/>
      <c r="T117" s="399"/>
      <c r="U117" s="399"/>
      <c r="V117" s="399"/>
      <c r="W117" s="399"/>
      <c r="X117" s="399"/>
      <c r="Y117" s="397"/>
      <c r="Z117" s="397"/>
      <c r="AA117" s="397"/>
      <c r="AB117" s="397"/>
      <c r="AC117" s="397"/>
      <c r="AD117" s="397"/>
      <c r="AE117" s="397"/>
      <c r="AF117" s="397"/>
      <c r="AG117" s="397"/>
      <c r="AH117" s="397"/>
      <c r="AI117" s="397"/>
      <c r="AJ117" s="397"/>
      <c r="AK117" s="397"/>
      <c r="AL117" s="398"/>
      <c r="AM117" s="398"/>
      <c r="AN117" s="398"/>
    </row>
    <row r="118" spans="1:40" ht="58.5" customHeight="1">
      <c r="A118" s="397"/>
      <c r="B118" s="397"/>
      <c r="C118" s="397"/>
      <c r="D118" s="397"/>
      <c r="E118" s="397"/>
      <c r="F118" s="397"/>
      <c r="G118" s="397"/>
      <c r="H118" s="397"/>
      <c r="I118" s="397"/>
      <c r="J118" s="397"/>
      <c r="K118" s="399"/>
      <c r="L118" s="399"/>
      <c r="M118" s="399"/>
      <c r="N118" s="399"/>
      <c r="O118" s="399"/>
      <c r="P118" s="399"/>
      <c r="Q118" s="399"/>
      <c r="R118" s="399"/>
      <c r="S118" s="399"/>
      <c r="T118" s="399"/>
      <c r="U118" s="399"/>
      <c r="V118" s="399"/>
      <c r="W118" s="399"/>
      <c r="X118" s="399"/>
      <c r="Y118" s="397"/>
      <c r="Z118" s="397"/>
      <c r="AA118" s="397"/>
      <c r="AB118" s="397"/>
      <c r="AC118" s="397"/>
      <c r="AD118" s="397"/>
      <c r="AE118" s="397"/>
      <c r="AF118" s="397"/>
      <c r="AG118" s="397"/>
      <c r="AH118" s="397"/>
      <c r="AI118" s="397"/>
      <c r="AJ118" s="397"/>
      <c r="AK118" s="397"/>
      <c r="AL118" s="398"/>
      <c r="AM118" s="398"/>
      <c r="AN118" s="398"/>
    </row>
    <row r="119" spans="1:40" ht="18" customHeight="1"/>
    <row r="120" spans="1:40" ht="30" customHeight="1">
      <c r="A120" s="198" t="s">
        <v>57</v>
      </c>
      <c r="B120" s="198"/>
      <c r="C120" s="198"/>
      <c r="D120" s="198"/>
      <c r="E120" s="198"/>
      <c r="F120" s="198"/>
      <c r="G120" s="198"/>
      <c r="H120" s="198"/>
      <c r="I120" s="198"/>
      <c r="J120" s="198"/>
      <c r="K120" s="198"/>
      <c r="L120" s="198"/>
      <c r="M120" s="198"/>
      <c r="N120" s="198"/>
      <c r="O120" s="198"/>
      <c r="P120" s="198"/>
      <c r="Q120" s="198"/>
      <c r="R120" s="198"/>
      <c r="S120" s="198"/>
      <c r="T120" s="198"/>
      <c r="U120" s="198"/>
      <c r="V120" s="198"/>
      <c r="W120" s="198"/>
      <c r="X120" s="198"/>
      <c r="Y120" s="198"/>
      <c r="Z120" s="198"/>
      <c r="AA120" s="198"/>
      <c r="AB120" s="198"/>
      <c r="AC120" s="198"/>
      <c r="AD120" s="198"/>
      <c r="AE120" s="198"/>
      <c r="AF120" s="198"/>
      <c r="AG120" s="198"/>
      <c r="AH120" s="198"/>
      <c r="AI120" s="198"/>
      <c r="AJ120" s="198"/>
      <c r="AK120" s="198"/>
      <c r="AL120" s="198"/>
      <c r="AM120" s="198"/>
      <c r="AN120" s="198"/>
    </row>
    <row r="121" spans="1:40" ht="26.25" customHeight="1">
      <c r="A121" s="262" t="s">
        <v>1867</v>
      </c>
      <c r="B121" s="262"/>
      <c r="C121" s="262"/>
      <c r="D121" s="262"/>
      <c r="E121" s="262"/>
      <c r="F121" s="262"/>
      <c r="G121" s="262"/>
      <c r="H121" s="262"/>
      <c r="I121" s="262"/>
      <c r="J121" s="262"/>
      <c r="K121" s="262"/>
      <c r="L121" s="262"/>
      <c r="M121" s="262"/>
      <c r="N121" s="262"/>
      <c r="O121" s="262"/>
      <c r="P121" s="262"/>
      <c r="Q121" s="262"/>
      <c r="R121" s="262"/>
      <c r="S121" s="262"/>
      <c r="T121" s="262"/>
      <c r="U121" s="262"/>
      <c r="V121" s="262"/>
      <c r="W121" s="262"/>
      <c r="X121" s="262"/>
      <c r="Y121" s="262"/>
      <c r="Z121" s="262"/>
      <c r="AA121" s="262"/>
      <c r="AB121" s="262"/>
      <c r="AC121" s="262"/>
      <c r="AD121" s="262"/>
      <c r="AE121" s="262"/>
      <c r="AF121" s="262"/>
      <c r="AG121" s="262"/>
      <c r="AH121" s="262"/>
      <c r="AI121" s="262"/>
      <c r="AJ121" s="262"/>
      <c r="AK121" s="262"/>
      <c r="AL121" s="262"/>
      <c r="AM121" s="262"/>
      <c r="AN121" s="262"/>
    </row>
    <row r="122" spans="1:40" ht="26.25" customHeight="1">
      <c r="A122" s="262"/>
      <c r="B122" s="262"/>
      <c r="C122" s="262"/>
      <c r="D122" s="262"/>
      <c r="E122" s="262"/>
      <c r="F122" s="262"/>
      <c r="G122" s="262"/>
      <c r="H122" s="262"/>
      <c r="I122" s="262"/>
      <c r="J122" s="262"/>
      <c r="K122" s="262"/>
      <c r="L122" s="262"/>
      <c r="M122" s="262"/>
      <c r="N122" s="262"/>
      <c r="O122" s="262"/>
      <c r="P122" s="262"/>
      <c r="Q122" s="262"/>
      <c r="R122" s="262"/>
      <c r="S122" s="262"/>
      <c r="T122" s="262"/>
      <c r="U122" s="262"/>
      <c r="V122" s="262"/>
      <c r="W122" s="262"/>
      <c r="X122" s="262"/>
      <c r="Y122" s="262"/>
      <c r="Z122" s="262"/>
      <c r="AA122" s="262"/>
      <c r="AB122" s="262"/>
      <c r="AC122" s="262"/>
      <c r="AD122" s="262"/>
      <c r="AE122" s="262"/>
      <c r="AF122" s="262"/>
      <c r="AG122" s="262"/>
      <c r="AH122" s="262"/>
      <c r="AI122" s="262"/>
      <c r="AJ122" s="262"/>
      <c r="AK122" s="262"/>
      <c r="AL122" s="262"/>
      <c r="AM122" s="262"/>
      <c r="AN122" s="262"/>
    </row>
    <row r="123" spans="1:40" ht="26.25" customHeight="1">
      <c r="A123" s="262"/>
      <c r="B123" s="262"/>
      <c r="C123" s="262"/>
      <c r="D123" s="262"/>
      <c r="E123" s="262"/>
      <c r="F123" s="262"/>
      <c r="G123" s="262"/>
      <c r="H123" s="262"/>
      <c r="I123" s="262"/>
      <c r="J123" s="262"/>
      <c r="K123" s="262"/>
      <c r="L123" s="262"/>
      <c r="M123" s="262"/>
      <c r="N123" s="262"/>
      <c r="O123" s="262"/>
      <c r="P123" s="262"/>
      <c r="Q123" s="262"/>
      <c r="R123" s="262"/>
      <c r="S123" s="262"/>
      <c r="T123" s="262"/>
      <c r="U123" s="262"/>
      <c r="V123" s="262"/>
      <c r="W123" s="262"/>
      <c r="X123" s="262"/>
      <c r="Y123" s="262"/>
      <c r="Z123" s="262"/>
      <c r="AA123" s="262"/>
      <c r="AB123" s="262"/>
      <c r="AC123" s="262"/>
      <c r="AD123" s="262"/>
      <c r="AE123" s="262"/>
      <c r="AF123" s="262"/>
      <c r="AG123" s="262"/>
      <c r="AH123" s="262"/>
      <c r="AI123" s="262"/>
      <c r="AJ123" s="262"/>
      <c r="AK123" s="262"/>
      <c r="AL123" s="262"/>
      <c r="AM123" s="262"/>
      <c r="AN123" s="262"/>
    </row>
    <row r="124" spans="1:40" ht="26.25" customHeight="1">
      <c r="A124" s="262"/>
      <c r="B124" s="262"/>
      <c r="C124" s="262"/>
      <c r="D124" s="262"/>
      <c r="E124" s="262"/>
      <c r="F124" s="262"/>
      <c r="G124" s="262"/>
      <c r="H124" s="262"/>
      <c r="I124" s="262"/>
      <c r="J124" s="262"/>
      <c r="K124" s="262"/>
      <c r="L124" s="262"/>
      <c r="M124" s="262"/>
      <c r="N124" s="262"/>
      <c r="O124" s="262"/>
      <c r="P124" s="262"/>
      <c r="Q124" s="262"/>
      <c r="R124" s="262"/>
      <c r="S124" s="262"/>
      <c r="T124" s="262"/>
      <c r="U124" s="262"/>
      <c r="V124" s="262"/>
      <c r="W124" s="262"/>
      <c r="X124" s="262"/>
      <c r="Y124" s="262"/>
      <c r="Z124" s="262"/>
      <c r="AA124" s="262"/>
      <c r="AB124" s="262"/>
      <c r="AC124" s="262"/>
      <c r="AD124" s="262"/>
      <c r="AE124" s="262"/>
      <c r="AF124" s="262"/>
      <c r="AG124" s="262"/>
      <c r="AH124" s="262"/>
      <c r="AI124" s="262"/>
      <c r="AJ124" s="262"/>
      <c r="AK124" s="262"/>
      <c r="AL124" s="262"/>
      <c r="AM124" s="262"/>
      <c r="AN124" s="262"/>
    </row>
    <row r="126" spans="1:40" ht="24">
      <c r="A126" s="52" t="s">
        <v>1448</v>
      </c>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row>
    <row r="127" spans="1:40" ht="40.5" customHeight="1">
      <c r="A127" s="360">
        <f>+A116</f>
        <v>0</v>
      </c>
      <c r="B127" s="360"/>
      <c r="C127" s="360"/>
      <c r="D127" s="360"/>
      <c r="E127" s="360"/>
      <c r="F127" s="360"/>
      <c r="G127" s="360"/>
      <c r="H127" s="360"/>
      <c r="I127" s="360"/>
      <c r="J127" s="360"/>
      <c r="K127" s="360"/>
      <c r="L127" s="360"/>
      <c r="M127" s="360"/>
      <c r="N127" s="360"/>
      <c r="O127" s="360"/>
      <c r="P127" s="360"/>
      <c r="Q127" s="360"/>
      <c r="R127" s="360"/>
      <c r="S127" s="360"/>
      <c r="T127" s="360"/>
      <c r="U127" s="360"/>
      <c r="V127" s="360"/>
      <c r="W127" s="360"/>
      <c r="X127" s="360"/>
      <c r="Y127" s="360"/>
      <c r="Z127" s="360"/>
      <c r="AA127" s="360"/>
      <c r="AB127" s="360"/>
      <c r="AC127" s="360"/>
      <c r="AD127" s="360"/>
      <c r="AE127" s="360"/>
      <c r="AF127" s="360"/>
      <c r="AG127" s="360"/>
      <c r="AH127" s="360"/>
      <c r="AI127" s="360"/>
      <c r="AJ127" s="360"/>
      <c r="AK127" s="360"/>
      <c r="AL127" s="360"/>
      <c r="AM127" s="360"/>
      <c r="AN127" s="360"/>
    </row>
    <row r="128" spans="1:40" ht="83.25" customHeight="1">
      <c r="A128" s="353" t="s">
        <v>58</v>
      </c>
      <c r="B128" s="353"/>
      <c r="C128" s="353"/>
      <c r="D128" s="353"/>
      <c r="E128" s="353"/>
      <c r="F128" s="353"/>
      <c r="G128" s="353"/>
      <c r="H128" s="353"/>
      <c r="I128" s="353"/>
      <c r="J128" s="353"/>
      <c r="K128" s="353"/>
      <c r="L128" s="353"/>
      <c r="M128" s="353"/>
      <c r="N128" s="353"/>
      <c r="O128" s="353" t="s">
        <v>59</v>
      </c>
      <c r="P128" s="353"/>
      <c r="Q128" s="353"/>
      <c r="R128" s="353"/>
      <c r="S128" s="353"/>
      <c r="T128" s="353"/>
      <c r="U128" s="353"/>
      <c r="V128" s="353"/>
      <c r="W128" s="353"/>
      <c r="X128" s="353" t="s">
        <v>60</v>
      </c>
      <c r="Y128" s="353"/>
      <c r="Z128" s="353"/>
      <c r="AA128" s="353"/>
      <c r="AB128" s="353"/>
      <c r="AC128" s="353"/>
      <c r="AD128" s="353"/>
      <c r="AE128" s="353"/>
      <c r="AF128" s="352" t="s">
        <v>1422</v>
      </c>
      <c r="AG128" s="352"/>
      <c r="AH128" s="352"/>
      <c r="AI128" s="352"/>
      <c r="AJ128" s="352"/>
      <c r="AK128" s="352"/>
      <c r="AL128" s="352"/>
      <c r="AM128" s="352"/>
      <c r="AN128" s="352"/>
    </row>
    <row r="129" spans="1:40" ht="55.5" customHeight="1">
      <c r="A129" s="356"/>
      <c r="B129" s="356"/>
      <c r="C129" s="356"/>
      <c r="D129" s="356"/>
      <c r="E129" s="356"/>
      <c r="F129" s="356"/>
      <c r="G129" s="356"/>
      <c r="H129" s="356"/>
      <c r="I129" s="356"/>
      <c r="J129" s="356"/>
      <c r="K129" s="356"/>
      <c r="L129" s="356"/>
      <c r="M129" s="356"/>
      <c r="N129" s="356"/>
      <c r="O129" s="356"/>
      <c r="P129" s="356"/>
      <c r="Q129" s="356"/>
      <c r="R129" s="356"/>
      <c r="S129" s="356"/>
      <c r="T129" s="356"/>
      <c r="U129" s="356"/>
      <c r="V129" s="356"/>
      <c r="W129" s="356"/>
      <c r="X129" s="356"/>
      <c r="Y129" s="356"/>
      <c r="Z129" s="356"/>
      <c r="AA129" s="356"/>
      <c r="AB129" s="356"/>
      <c r="AC129" s="356"/>
      <c r="AD129" s="356"/>
      <c r="AE129" s="356"/>
      <c r="AF129" s="356"/>
      <c r="AG129" s="356"/>
      <c r="AH129" s="356"/>
      <c r="AI129" s="356"/>
      <c r="AJ129" s="356"/>
      <c r="AK129" s="356"/>
      <c r="AL129" s="356"/>
      <c r="AM129" s="356"/>
      <c r="AN129" s="356"/>
    </row>
    <row r="130" spans="1:40" ht="55.5" customHeight="1">
      <c r="A130" s="356"/>
      <c r="B130" s="356"/>
      <c r="C130" s="356"/>
      <c r="D130" s="356"/>
      <c r="E130" s="356"/>
      <c r="F130" s="356"/>
      <c r="G130" s="356"/>
      <c r="H130" s="356"/>
      <c r="I130" s="356"/>
      <c r="J130" s="356"/>
      <c r="K130" s="356"/>
      <c r="L130" s="356"/>
      <c r="M130" s="356"/>
      <c r="N130" s="356"/>
      <c r="O130" s="356"/>
      <c r="P130" s="356"/>
      <c r="Q130" s="356"/>
      <c r="R130" s="356"/>
      <c r="S130" s="356"/>
      <c r="T130" s="356"/>
      <c r="U130" s="356"/>
      <c r="V130" s="356"/>
      <c r="W130" s="356"/>
      <c r="X130" s="356"/>
      <c r="Y130" s="356"/>
      <c r="Z130" s="356"/>
      <c r="AA130" s="356"/>
      <c r="AB130" s="356"/>
      <c r="AC130" s="356"/>
      <c r="AD130" s="356"/>
      <c r="AE130" s="356"/>
      <c r="AF130" s="356"/>
      <c r="AG130" s="356"/>
      <c r="AH130" s="356"/>
      <c r="AI130" s="356"/>
      <c r="AJ130" s="356"/>
      <c r="AK130" s="356"/>
      <c r="AL130" s="356"/>
      <c r="AM130" s="356"/>
      <c r="AN130" s="356"/>
    </row>
    <row r="131" spans="1:40" ht="55.5" customHeight="1">
      <c r="A131" s="356"/>
      <c r="B131" s="356"/>
      <c r="C131" s="356"/>
      <c r="D131" s="356"/>
      <c r="E131" s="356"/>
      <c r="F131" s="356"/>
      <c r="G131" s="356"/>
      <c r="H131" s="356"/>
      <c r="I131" s="356"/>
      <c r="J131" s="356"/>
      <c r="K131" s="356"/>
      <c r="L131" s="356"/>
      <c r="M131" s="356"/>
      <c r="N131" s="356"/>
      <c r="O131" s="356"/>
      <c r="P131" s="356"/>
      <c r="Q131" s="356"/>
      <c r="R131" s="356"/>
      <c r="S131" s="356"/>
      <c r="T131" s="356"/>
      <c r="U131" s="356"/>
      <c r="V131" s="356"/>
      <c r="W131" s="356"/>
      <c r="X131" s="356"/>
      <c r="Y131" s="356"/>
      <c r="Z131" s="356"/>
      <c r="AA131" s="356"/>
      <c r="AB131" s="356"/>
      <c r="AC131" s="356"/>
      <c r="AD131" s="356"/>
      <c r="AE131" s="356"/>
      <c r="AF131" s="356"/>
      <c r="AG131" s="356"/>
      <c r="AH131" s="356"/>
      <c r="AI131" s="356"/>
      <c r="AJ131" s="356"/>
      <c r="AK131" s="356"/>
      <c r="AL131" s="356"/>
      <c r="AM131" s="356"/>
      <c r="AN131" s="356"/>
    </row>
    <row r="132" spans="1:40" ht="55.5" customHeight="1">
      <c r="A132" s="356"/>
      <c r="B132" s="356"/>
      <c r="C132" s="356"/>
      <c r="D132" s="356"/>
      <c r="E132" s="356"/>
      <c r="F132" s="356"/>
      <c r="G132" s="356"/>
      <c r="H132" s="356"/>
      <c r="I132" s="356"/>
      <c r="J132" s="356"/>
      <c r="K132" s="356"/>
      <c r="L132" s="356"/>
      <c r="M132" s="356"/>
      <c r="N132" s="356"/>
      <c r="O132" s="356"/>
      <c r="P132" s="356"/>
      <c r="Q132" s="356"/>
      <c r="R132" s="356"/>
      <c r="S132" s="356"/>
      <c r="T132" s="356"/>
      <c r="U132" s="356"/>
      <c r="V132" s="356"/>
      <c r="W132" s="356"/>
      <c r="X132" s="356"/>
      <c r="Y132" s="356"/>
      <c r="Z132" s="356"/>
      <c r="AA132" s="356"/>
      <c r="AB132" s="356"/>
      <c r="AC132" s="356"/>
      <c r="AD132" s="356"/>
      <c r="AE132" s="356"/>
      <c r="AF132" s="356"/>
      <c r="AG132" s="356"/>
      <c r="AH132" s="356"/>
      <c r="AI132" s="356"/>
      <c r="AJ132" s="356"/>
      <c r="AK132" s="356"/>
      <c r="AL132" s="356"/>
      <c r="AM132" s="356"/>
      <c r="AN132" s="356"/>
    </row>
    <row r="133" spans="1:40" ht="55.5" customHeight="1">
      <c r="A133" s="356"/>
      <c r="B133" s="356"/>
      <c r="C133" s="356"/>
      <c r="D133" s="356"/>
      <c r="E133" s="356"/>
      <c r="F133" s="356"/>
      <c r="G133" s="356"/>
      <c r="H133" s="356"/>
      <c r="I133" s="356"/>
      <c r="J133" s="356"/>
      <c r="K133" s="356"/>
      <c r="L133" s="356"/>
      <c r="M133" s="356"/>
      <c r="N133" s="356"/>
      <c r="O133" s="356"/>
      <c r="P133" s="356"/>
      <c r="Q133" s="356"/>
      <c r="R133" s="356"/>
      <c r="S133" s="356"/>
      <c r="T133" s="356"/>
      <c r="U133" s="356"/>
      <c r="V133" s="356"/>
      <c r="W133" s="356"/>
      <c r="X133" s="356"/>
      <c r="Y133" s="356"/>
      <c r="Z133" s="356"/>
      <c r="AA133" s="356"/>
      <c r="AB133" s="356"/>
      <c r="AC133" s="356"/>
      <c r="AD133" s="356"/>
      <c r="AE133" s="356"/>
      <c r="AF133" s="356"/>
      <c r="AG133" s="356"/>
      <c r="AH133" s="356"/>
      <c r="AI133" s="356"/>
      <c r="AJ133" s="356"/>
      <c r="AK133" s="356"/>
      <c r="AL133" s="356"/>
      <c r="AM133" s="356"/>
      <c r="AN133" s="356"/>
    </row>
    <row r="134" spans="1:40" ht="55.5" customHeight="1">
      <c r="A134" s="356"/>
      <c r="B134" s="356"/>
      <c r="C134" s="356"/>
      <c r="D134" s="356"/>
      <c r="E134" s="356"/>
      <c r="F134" s="356"/>
      <c r="G134" s="356"/>
      <c r="H134" s="356"/>
      <c r="I134" s="356"/>
      <c r="J134" s="356"/>
      <c r="K134" s="356"/>
      <c r="L134" s="356"/>
      <c r="M134" s="356"/>
      <c r="N134" s="356"/>
      <c r="O134" s="356"/>
      <c r="P134" s="356"/>
      <c r="Q134" s="356"/>
      <c r="R134" s="356"/>
      <c r="S134" s="356"/>
      <c r="T134" s="356"/>
      <c r="U134" s="356"/>
      <c r="V134" s="356"/>
      <c r="W134" s="356"/>
      <c r="X134" s="356"/>
      <c r="Y134" s="356"/>
      <c r="Z134" s="356"/>
      <c r="AA134" s="356"/>
      <c r="AB134" s="356"/>
      <c r="AC134" s="356"/>
      <c r="AD134" s="356"/>
      <c r="AE134" s="356"/>
      <c r="AF134" s="356"/>
      <c r="AG134" s="356"/>
      <c r="AH134" s="356"/>
      <c r="AI134" s="356"/>
      <c r="AJ134" s="356"/>
      <c r="AK134" s="356"/>
      <c r="AL134" s="356"/>
      <c r="AM134" s="356"/>
      <c r="AN134" s="356"/>
    </row>
    <row r="135" spans="1:40" ht="55.5" customHeight="1">
      <c r="A135" s="356"/>
      <c r="B135" s="356"/>
      <c r="C135" s="356"/>
      <c r="D135" s="356"/>
      <c r="E135" s="356"/>
      <c r="F135" s="356"/>
      <c r="G135" s="356"/>
      <c r="H135" s="356"/>
      <c r="I135" s="356"/>
      <c r="J135" s="356"/>
      <c r="K135" s="356"/>
      <c r="L135" s="356"/>
      <c r="M135" s="356"/>
      <c r="N135" s="356"/>
      <c r="O135" s="356"/>
      <c r="P135" s="356"/>
      <c r="Q135" s="356"/>
      <c r="R135" s="356"/>
      <c r="S135" s="356"/>
      <c r="T135" s="356"/>
      <c r="U135" s="356"/>
      <c r="V135" s="356"/>
      <c r="W135" s="356"/>
      <c r="X135" s="356"/>
      <c r="Y135" s="356"/>
      <c r="Z135" s="356"/>
      <c r="AA135" s="356"/>
      <c r="AB135" s="356"/>
      <c r="AC135" s="356"/>
      <c r="AD135" s="356"/>
      <c r="AE135" s="356"/>
      <c r="AF135" s="356"/>
      <c r="AG135" s="356"/>
      <c r="AH135" s="356"/>
      <c r="AI135" s="356"/>
      <c r="AJ135" s="356"/>
      <c r="AK135" s="356"/>
      <c r="AL135" s="356"/>
      <c r="AM135" s="356"/>
      <c r="AN135" s="356"/>
    </row>
    <row r="136" spans="1:40" ht="55.5" customHeight="1">
      <c r="A136" s="356"/>
      <c r="B136" s="356"/>
      <c r="C136" s="356"/>
      <c r="D136" s="356"/>
      <c r="E136" s="356"/>
      <c r="F136" s="356"/>
      <c r="G136" s="356"/>
      <c r="H136" s="356"/>
      <c r="I136" s="356"/>
      <c r="J136" s="356"/>
      <c r="K136" s="356"/>
      <c r="L136" s="356"/>
      <c r="M136" s="356"/>
      <c r="N136" s="356"/>
      <c r="O136" s="356"/>
      <c r="P136" s="356"/>
      <c r="Q136" s="356"/>
      <c r="R136" s="356"/>
      <c r="S136" s="356"/>
      <c r="T136" s="356"/>
      <c r="U136" s="356"/>
      <c r="V136" s="356"/>
      <c r="W136" s="356"/>
      <c r="X136" s="356"/>
      <c r="Y136" s="356"/>
      <c r="Z136" s="356"/>
      <c r="AA136" s="356"/>
      <c r="AB136" s="356"/>
      <c r="AC136" s="356"/>
      <c r="AD136" s="356"/>
      <c r="AE136" s="356"/>
      <c r="AF136" s="356"/>
      <c r="AG136" s="356"/>
      <c r="AH136" s="356"/>
      <c r="AI136" s="356"/>
      <c r="AJ136" s="356"/>
      <c r="AK136" s="356"/>
      <c r="AL136" s="356"/>
      <c r="AM136" s="356"/>
      <c r="AN136" s="356"/>
    </row>
    <row r="137" spans="1:40" ht="55.5" customHeight="1">
      <c r="A137" s="356"/>
      <c r="B137" s="356"/>
      <c r="C137" s="356"/>
      <c r="D137" s="356"/>
      <c r="E137" s="356"/>
      <c r="F137" s="356"/>
      <c r="G137" s="356"/>
      <c r="H137" s="356"/>
      <c r="I137" s="356"/>
      <c r="J137" s="356"/>
      <c r="K137" s="356"/>
      <c r="L137" s="356"/>
      <c r="M137" s="356"/>
      <c r="N137" s="356"/>
      <c r="O137" s="356"/>
      <c r="P137" s="356"/>
      <c r="Q137" s="356"/>
      <c r="R137" s="356"/>
      <c r="S137" s="356"/>
      <c r="T137" s="356"/>
      <c r="U137" s="356"/>
      <c r="V137" s="356"/>
      <c r="W137" s="356"/>
      <c r="X137" s="356"/>
      <c r="Y137" s="356"/>
      <c r="Z137" s="356"/>
      <c r="AA137" s="356"/>
      <c r="AB137" s="356"/>
      <c r="AC137" s="356"/>
      <c r="AD137" s="356"/>
      <c r="AE137" s="356"/>
      <c r="AF137" s="356"/>
      <c r="AG137" s="356"/>
      <c r="AH137" s="356"/>
      <c r="AI137" s="356"/>
      <c r="AJ137" s="356"/>
      <c r="AK137" s="356"/>
      <c r="AL137" s="356"/>
      <c r="AM137" s="356"/>
      <c r="AN137" s="356"/>
    </row>
    <row r="138" spans="1:40" ht="55.5" customHeight="1">
      <c r="A138" s="356"/>
      <c r="B138" s="356"/>
      <c r="C138" s="356"/>
      <c r="D138" s="356"/>
      <c r="E138" s="356"/>
      <c r="F138" s="356"/>
      <c r="G138" s="356"/>
      <c r="H138" s="356"/>
      <c r="I138" s="356"/>
      <c r="J138" s="356"/>
      <c r="K138" s="356"/>
      <c r="L138" s="356"/>
      <c r="M138" s="356"/>
      <c r="N138" s="356"/>
      <c r="O138" s="356"/>
      <c r="P138" s="356"/>
      <c r="Q138" s="356"/>
      <c r="R138" s="356"/>
      <c r="S138" s="356"/>
      <c r="T138" s="356"/>
      <c r="U138" s="356"/>
      <c r="V138" s="356"/>
      <c r="W138" s="356"/>
      <c r="X138" s="356"/>
      <c r="Y138" s="356"/>
      <c r="Z138" s="356"/>
      <c r="AA138" s="356"/>
      <c r="AB138" s="356"/>
      <c r="AC138" s="356"/>
      <c r="AD138" s="356"/>
      <c r="AE138" s="356"/>
      <c r="AF138" s="356"/>
      <c r="AG138" s="356"/>
      <c r="AH138" s="356"/>
      <c r="AI138" s="356"/>
      <c r="AJ138" s="356"/>
      <c r="AK138" s="356"/>
      <c r="AL138" s="356"/>
      <c r="AM138" s="356"/>
      <c r="AN138" s="356"/>
    </row>
    <row r="139" spans="1:40" ht="30" customHeight="1"/>
    <row r="140" spans="1:40" ht="24">
      <c r="A140" s="260" t="s">
        <v>1447</v>
      </c>
      <c r="B140" s="260"/>
      <c r="C140" s="260"/>
      <c r="D140" s="260"/>
      <c r="E140" s="260"/>
      <c r="F140" s="260"/>
      <c r="G140" s="260"/>
      <c r="H140" s="260"/>
      <c r="I140" s="260"/>
      <c r="J140" s="260"/>
      <c r="K140" s="260"/>
      <c r="L140" s="260"/>
      <c r="M140" s="260"/>
      <c r="N140" s="260"/>
      <c r="O140" s="260"/>
      <c r="P140" s="260"/>
      <c r="Q140" s="260"/>
      <c r="R140" s="260"/>
      <c r="S140" s="260"/>
      <c r="T140" s="260"/>
      <c r="U140" s="260"/>
      <c r="V140" s="260"/>
      <c r="W140" s="260"/>
      <c r="X140" s="260"/>
      <c r="Y140" s="260"/>
      <c r="Z140" s="260"/>
      <c r="AA140" s="260"/>
      <c r="AB140" s="260"/>
      <c r="AC140" s="260"/>
      <c r="AD140" s="260"/>
      <c r="AE140" s="260"/>
      <c r="AF140" s="260"/>
      <c r="AG140" s="260"/>
      <c r="AH140" s="260"/>
      <c r="AI140" s="260"/>
      <c r="AJ140" s="260"/>
      <c r="AK140" s="260"/>
      <c r="AL140" s="260"/>
      <c r="AM140" s="260"/>
      <c r="AN140" s="260"/>
    </row>
    <row r="141" spans="1:40" ht="40.5" customHeight="1">
      <c r="A141" s="360">
        <f>+A117</f>
        <v>0</v>
      </c>
      <c r="B141" s="360"/>
      <c r="C141" s="360"/>
      <c r="D141" s="360"/>
      <c r="E141" s="360"/>
      <c r="F141" s="360"/>
      <c r="G141" s="360"/>
      <c r="H141" s="360"/>
      <c r="I141" s="360"/>
      <c r="J141" s="360"/>
      <c r="K141" s="360"/>
      <c r="L141" s="360"/>
      <c r="M141" s="360"/>
      <c r="N141" s="360"/>
      <c r="O141" s="360"/>
      <c r="P141" s="360"/>
      <c r="Q141" s="360"/>
      <c r="R141" s="360"/>
      <c r="S141" s="360"/>
      <c r="T141" s="360"/>
      <c r="U141" s="360"/>
      <c r="V141" s="360"/>
      <c r="W141" s="360"/>
      <c r="X141" s="360"/>
      <c r="Y141" s="360"/>
      <c r="Z141" s="360"/>
      <c r="AA141" s="360"/>
      <c r="AB141" s="360"/>
      <c r="AC141" s="360"/>
      <c r="AD141" s="360"/>
      <c r="AE141" s="360"/>
      <c r="AF141" s="360"/>
      <c r="AG141" s="360"/>
      <c r="AH141" s="360"/>
      <c r="AI141" s="360"/>
      <c r="AJ141" s="360"/>
      <c r="AK141" s="360"/>
      <c r="AL141" s="360"/>
      <c r="AM141" s="360"/>
      <c r="AN141" s="360"/>
    </row>
    <row r="142" spans="1:40" ht="78.75" customHeight="1">
      <c r="A142" s="353" t="s">
        <v>58</v>
      </c>
      <c r="B142" s="353"/>
      <c r="C142" s="353"/>
      <c r="D142" s="353"/>
      <c r="E142" s="353"/>
      <c r="F142" s="353"/>
      <c r="G142" s="353"/>
      <c r="H142" s="353"/>
      <c r="I142" s="353"/>
      <c r="J142" s="353"/>
      <c r="K142" s="353"/>
      <c r="L142" s="353"/>
      <c r="M142" s="353"/>
      <c r="N142" s="353"/>
      <c r="O142" s="353" t="s">
        <v>59</v>
      </c>
      <c r="P142" s="353"/>
      <c r="Q142" s="353"/>
      <c r="R142" s="353"/>
      <c r="S142" s="353"/>
      <c r="T142" s="353"/>
      <c r="U142" s="353"/>
      <c r="V142" s="353"/>
      <c r="W142" s="353"/>
      <c r="X142" s="353" t="s">
        <v>60</v>
      </c>
      <c r="Y142" s="353"/>
      <c r="Z142" s="353"/>
      <c r="AA142" s="353"/>
      <c r="AB142" s="353"/>
      <c r="AC142" s="353"/>
      <c r="AD142" s="353"/>
      <c r="AE142" s="353"/>
      <c r="AF142" s="352" t="s">
        <v>1422</v>
      </c>
      <c r="AG142" s="352"/>
      <c r="AH142" s="352"/>
      <c r="AI142" s="352"/>
      <c r="AJ142" s="352"/>
      <c r="AK142" s="352"/>
      <c r="AL142" s="352"/>
      <c r="AM142" s="352"/>
      <c r="AN142" s="352"/>
    </row>
    <row r="143" spans="1:40" ht="55.5" customHeight="1">
      <c r="A143" s="356"/>
      <c r="B143" s="356"/>
      <c r="C143" s="356"/>
      <c r="D143" s="356"/>
      <c r="E143" s="356"/>
      <c r="F143" s="356"/>
      <c r="G143" s="356"/>
      <c r="H143" s="356"/>
      <c r="I143" s="356"/>
      <c r="J143" s="356"/>
      <c r="K143" s="356"/>
      <c r="L143" s="356"/>
      <c r="M143" s="356"/>
      <c r="N143" s="356"/>
      <c r="O143" s="356"/>
      <c r="P143" s="356"/>
      <c r="Q143" s="356"/>
      <c r="R143" s="356"/>
      <c r="S143" s="356"/>
      <c r="T143" s="356"/>
      <c r="U143" s="356"/>
      <c r="V143" s="356"/>
      <c r="W143" s="356"/>
      <c r="X143" s="356"/>
      <c r="Y143" s="356"/>
      <c r="Z143" s="356"/>
      <c r="AA143" s="356"/>
      <c r="AB143" s="356"/>
      <c r="AC143" s="356"/>
      <c r="AD143" s="356"/>
      <c r="AE143" s="356"/>
      <c r="AF143" s="356"/>
      <c r="AG143" s="356"/>
      <c r="AH143" s="356"/>
      <c r="AI143" s="356"/>
      <c r="AJ143" s="356"/>
      <c r="AK143" s="356"/>
      <c r="AL143" s="356"/>
      <c r="AM143" s="356"/>
      <c r="AN143" s="356"/>
    </row>
    <row r="144" spans="1:40" ht="55.5" customHeight="1">
      <c r="A144" s="356"/>
      <c r="B144" s="356"/>
      <c r="C144" s="356"/>
      <c r="D144" s="356"/>
      <c r="E144" s="356"/>
      <c r="F144" s="356"/>
      <c r="G144" s="356"/>
      <c r="H144" s="356"/>
      <c r="I144" s="356"/>
      <c r="J144" s="356"/>
      <c r="K144" s="356"/>
      <c r="L144" s="356"/>
      <c r="M144" s="356"/>
      <c r="N144" s="356"/>
      <c r="O144" s="356"/>
      <c r="P144" s="356"/>
      <c r="Q144" s="356"/>
      <c r="R144" s="356"/>
      <c r="S144" s="356"/>
      <c r="T144" s="356"/>
      <c r="U144" s="356"/>
      <c r="V144" s="356"/>
      <c r="W144" s="356"/>
      <c r="X144" s="356"/>
      <c r="Y144" s="356"/>
      <c r="Z144" s="356"/>
      <c r="AA144" s="356"/>
      <c r="AB144" s="356"/>
      <c r="AC144" s="356"/>
      <c r="AD144" s="356"/>
      <c r="AE144" s="356"/>
      <c r="AF144" s="356"/>
      <c r="AG144" s="356"/>
      <c r="AH144" s="356"/>
      <c r="AI144" s="356"/>
      <c r="AJ144" s="356"/>
      <c r="AK144" s="356"/>
      <c r="AL144" s="356"/>
      <c r="AM144" s="356"/>
      <c r="AN144" s="356"/>
    </row>
    <row r="145" spans="1:40" ht="55.5" customHeight="1">
      <c r="A145" s="356"/>
      <c r="B145" s="356"/>
      <c r="C145" s="356"/>
      <c r="D145" s="356"/>
      <c r="E145" s="356"/>
      <c r="F145" s="356"/>
      <c r="G145" s="356"/>
      <c r="H145" s="356"/>
      <c r="I145" s="356"/>
      <c r="J145" s="356"/>
      <c r="K145" s="356"/>
      <c r="L145" s="356"/>
      <c r="M145" s="356"/>
      <c r="N145" s="356"/>
      <c r="O145" s="356"/>
      <c r="P145" s="356"/>
      <c r="Q145" s="356"/>
      <c r="R145" s="356"/>
      <c r="S145" s="356"/>
      <c r="T145" s="356"/>
      <c r="U145" s="356"/>
      <c r="V145" s="356"/>
      <c r="W145" s="356"/>
      <c r="X145" s="356"/>
      <c r="Y145" s="356"/>
      <c r="Z145" s="356"/>
      <c r="AA145" s="356"/>
      <c r="AB145" s="356"/>
      <c r="AC145" s="356"/>
      <c r="AD145" s="356"/>
      <c r="AE145" s="356"/>
      <c r="AF145" s="356"/>
      <c r="AG145" s="356"/>
      <c r="AH145" s="356"/>
      <c r="AI145" s="356"/>
      <c r="AJ145" s="356"/>
      <c r="AK145" s="356"/>
      <c r="AL145" s="356"/>
      <c r="AM145" s="356"/>
      <c r="AN145" s="356"/>
    </row>
    <row r="146" spans="1:40" ht="55.5" customHeight="1">
      <c r="A146" s="356"/>
      <c r="B146" s="356"/>
      <c r="C146" s="356"/>
      <c r="D146" s="356"/>
      <c r="E146" s="356"/>
      <c r="F146" s="356"/>
      <c r="G146" s="356"/>
      <c r="H146" s="356"/>
      <c r="I146" s="356"/>
      <c r="J146" s="356"/>
      <c r="K146" s="356"/>
      <c r="L146" s="356"/>
      <c r="M146" s="356"/>
      <c r="N146" s="356"/>
      <c r="O146" s="356"/>
      <c r="P146" s="356"/>
      <c r="Q146" s="356"/>
      <c r="R146" s="356"/>
      <c r="S146" s="356"/>
      <c r="T146" s="356"/>
      <c r="U146" s="356"/>
      <c r="V146" s="356"/>
      <c r="W146" s="356"/>
      <c r="X146" s="356"/>
      <c r="Y146" s="356"/>
      <c r="Z146" s="356"/>
      <c r="AA146" s="356"/>
      <c r="AB146" s="356"/>
      <c r="AC146" s="356"/>
      <c r="AD146" s="356"/>
      <c r="AE146" s="356"/>
      <c r="AF146" s="356"/>
      <c r="AG146" s="356"/>
      <c r="AH146" s="356"/>
      <c r="AI146" s="356"/>
      <c r="AJ146" s="356"/>
      <c r="AK146" s="356"/>
      <c r="AL146" s="356"/>
      <c r="AM146" s="356"/>
      <c r="AN146" s="356"/>
    </row>
    <row r="147" spans="1:40" ht="55.5" customHeight="1">
      <c r="A147" s="356"/>
      <c r="B147" s="356"/>
      <c r="C147" s="356"/>
      <c r="D147" s="356"/>
      <c r="E147" s="356"/>
      <c r="F147" s="356"/>
      <c r="G147" s="356"/>
      <c r="H147" s="356"/>
      <c r="I147" s="356"/>
      <c r="J147" s="356"/>
      <c r="K147" s="356"/>
      <c r="L147" s="356"/>
      <c r="M147" s="356"/>
      <c r="N147" s="356"/>
      <c r="O147" s="356"/>
      <c r="P147" s="356"/>
      <c r="Q147" s="356"/>
      <c r="R147" s="356"/>
      <c r="S147" s="356"/>
      <c r="T147" s="356"/>
      <c r="U147" s="356"/>
      <c r="V147" s="356"/>
      <c r="W147" s="356"/>
      <c r="X147" s="356"/>
      <c r="Y147" s="356"/>
      <c r="Z147" s="356"/>
      <c r="AA147" s="356"/>
      <c r="AB147" s="356"/>
      <c r="AC147" s="356"/>
      <c r="AD147" s="356"/>
      <c r="AE147" s="356"/>
      <c r="AF147" s="356"/>
      <c r="AG147" s="356"/>
      <c r="AH147" s="356"/>
      <c r="AI147" s="356"/>
      <c r="AJ147" s="356"/>
      <c r="AK147" s="356"/>
      <c r="AL147" s="356"/>
      <c r="AM147" s="356"/>
      <c r="AN147" s="356"/>
    </row>
    <row r="148" spans="1:40" ht="55.5" customHeight="1">
      <c r="A148" s="356"/>
      <c r="B148" s="356"/>
      <c r="C148" s="356"/>
      <c r="D148" s="356"/>
      <c r="E148" s="356"/>
      <c r="F148" s="356"/>
      <c r="G148" s="356"/>
      <c r="H148" s="356"/>
      <c r="I148" s="356"/>
      <c r="J148" s="356"/>
      <c r="K148" s="356"/>
      <c r="L148" s="356"/>
      <c r="M148" s="356"/>
      <c r="N148" s="356"/>
      <c r="O148" s="356"/>
      <c r="P148" s="356"/>
      <c r="Q148" s="356"/>
      <c r="R148" s="356"/>
      <c r="S148" s="356"/>
      <c r="T148" s="356"/>
      <c r="U148" s="356"/>
      <c r="V148" s="356"/>
      <c r="W148" s="356"/>
      <c r="X148" s="356"/>
      <c r="Y148" s="356"/>
      <c r="Z148" s="356"/>
      <c r="AA148" s="356"/>
      <c r="AB148" s="356"/>
      <c r="AC148" s="356"/>
      <c r="AD148" s="356"/>
      <c r="AE148" s="356"/>
      <c r="AF148" s="356"/>
      <c r="AG148" s="356"/>
      <c r="AH148" s="356"/>
      <c r="AI148" s="356"/>
      <c r="AJ148" s="356"/>
      <c r="AK148" s="356"/>
      <c r="AL148" s="356"/>
      <c r="AM148" s="356"/>
      <c r="AN148" s="356"/>
    </row>
    <row r="149" spans="1:40" ht="55.5" customHeight="1">
      <c r="A149" s="356"/>
      <c r="B149" s="356"/>
      <c r="C149" s="356"/>
      <c r="D149" s="356"/>
      <c r="E149" s="356"/>
      <c r="F149" s="356"/>
      <c r="G149" s="356"/>
      <c r="H149" s="356"/>
      <c r="I149" s="356"/>
      <c r="J149" s="356"/>
      <c r="K149" s="356"/>
      <c r="L149" s="356"/>
      <c r="M149" s="356"/>
      <c r="N149" s="356"/>
      <c r="O149" s="356"/>
      <c r="P149" s="356"/>
      <c r="Q149" s="356"/>
      <c r="R149" s="356"/>
      <c r="S149" s="356"/>
      <c r="T149" s="356"/>
      <c r="U149" s="356"/>
      <c r="V149" s="356"/>
      <c r="W149" s="356"/>
      <c r="X149" s="356"/>
      <c r="Y149" s="356"/>
      <c r="Z149" s="356"/>
      <c r="AA149" s="356"/>
      <c r="AB149" s="356"/>
      <c r="AC149" s="356"/>
      <c r="AD149" s="356"/>
      <c r="AE149" s="356"/>
      <c r="AF149" s="356"/>
      <c r="AG149" s="356"/>
      <c r="AH149" s="356"/>
      <c r="AI149" s="356"/>
      <c r="AJ149" s="356"/>
      <c r="AK149" s="356"/>
      <c r="AL149" s="356"/>
      <c r="AM149" s="356"/>
      <c r="AN149" s="356"/>
    </row>
    <row r="150" spans="1:40" ht="55.5" customHeight="1">
      <c r="A150" s="356"/>
      <c r="B150" s="356"/>
      <c r="C150" s="356"/>
      <c r="D150" s="356"/>
      <c r="E150" s="356"/>
      <c r="F150" s="356"/>
      <c r="G150" s="356"/>
      <c r="H150" s="356"/>
      <c r="I150" s="356"/>
      <c r="J150" s="356"/>
      <c r="K150" s="356"/>
      <c r="L150" s="356"/>
      <c r="M150" s="356"/>
      <c r="N150" s="356"/>
      <c r="O150" s="356"/>
      <c r="P150" s="356"/>
      <c r="Q150" s="356"/>
      <c r="R150" s="356"/>
      <c r="S150" s="356"/>
      <c r="T150" s="356"/>
      <c r="U150" s="356"/>
      <c r="V150" s="356"/>
      <c r="W150" s="356"/>
      <c r="X150" s="356"/>
      <c r="Y150" s="356"/>
      <c r="Z150" s="356"/>
      <c r="AA150" s="356"/>
      <c r="AB150" s="356"/>
      <c r="AC150" s="356"/>
      <c r="AD150" s="356"/>
      <c r="AE150" s="356"/>
      <c r="AF150" s="356"/>
      <c r="AG150" s="356"/>
      <c r="AH150" s="356"/>
      <c r="AI150" s="356"/>
      <c r="AJ150" s="356"/>
      <c r="AK150" s="356"/>
      <c r="AL150" s="356"/>
      <c r="AM150" s="356"/>
      <c r="AN150" s="356"/>
    </row>
    <row r="151" spans="1:40" ht="55.5" customHeight="1">
      <c r="A151" s="356"/>
      <c r="B151" s="356"/>
      <c r="C151" s="356"/>
      <c r="D151" s="356"/>
      <c r="E151" s="356"/>
      <c r="F151" s="356"/>
      <c r="G151" s="356"/>
      <c r="H151" s="356"/>
      <c r="I151" s="356"/>
      <c r="J151" s="356"/>
      <c r="K151" s="356"/>
      <c r="L151" s="356"/>
      <c r="M151" s="356"/>
      <c r="N151" s="356"/>
      <c r="O151" s="356"/>
      <c r="P151" s="356"/>
      <c r="Q151" s="356"/>
      <c r="R151" s="356"/>
      <c r="S151" s="356"/>
      <c r="T151" s="356"/>
      <c r="U151" s="356"/>
      <c r="V151" s="356"/>
      <c r="W151" s="356"/>
      <c r="X151" s="356"/>
      <c r="Y151" s="356"/>
      <c r="Z151" s="356"/>
      <c r="AA151" s="356"/>
      <c r="AB151" s="356"/>
      <c r="AC151" s="356"/>
      <c r="AD151" s="356"/>
      <c r="AE151" s="356"/>
      <c r="AF151" s="356"/>
      <c r="AG151" s="356"/>
      <c r="AH151" s="356"/>
      <c r="AI151" s="356"/>
      <c r="AJ151" s="356"/>
      <c r="AK151" s="356"/>
      <c r="AL151" s="356"/>
      <c r="AM151" s="356"/>
      <c r="AN151" s="356"/>
    </row>
    <row r="152" spans="1:40" ht="55.5" customHeight="1">
      <c r="A152" s="356"/>
      <c r="B152" s="356"/>
      <c r="C152" s="356"/>
      <c r="D152" s="356"/>
      <c r="E152" s="356"/>
      <c r="F152" s="356"/>
      <c r="G152" s="356"/>
      <c r="H152" s="356"/>
      <c r="I152" s="356"/>
      <c r="J152" s="356"/>
      <c r="K152" s="356"/>
      <c r="L152" s="356"/>
      <c r="M152" s="356"/>
      <c r="N152" s="356"/>
      <c r="O152" s="356"/>
      <c r="P152" s="356"/>
      <c r="Q152" s="356"/>
      <c r="R152" s="356"/>
      <c r="S152" s="356"/>
      <c r="T152" s="356"/>
      <c r="U152" s="356"/>
      <c r="V152" s="356"/>
      <c r="W152" s="356"/>
      <c r="X152" s="356"/>
      <c r="Y152" s="356"/>
      <c r="Z152" s="356"/>
      <c r="AA152" s="356"/>
      <c r="AB152" s="356"/>
      <c r="AC152" s="356"/>
      <c r="AD152" s="356"/>
      <c r="AE152" s="356"/>
      <c r="AF152" s="356"/>
      <c r="AG152" s="356"/>
      <c r="AH152" s="356"/>
      <c r="AI152" s="356"/>
      <c r="AJ152" s="356"/>
      <c r="AK152" s="356"/>
      <c r="AL152" s="356"/>
      <c r="AM152" s="356"/>
      <c r="AN152" s="356"/>
    </row>
    <row r="154" spans="1:40" ht="24">
      <c r="A154" s="260" t="s">
        <v>1443</v>
      </c>
      <c r="B154" s="260"/>
      <c r="C154" s="260"/>
      <c r="D154" s="260"/>
      <c r="E154" s="260"/>
      <c r="F154" s="260"/>
      <c r="G154" s="260"/>
      <c r="H154" s="260"/>
      <c r="I154" s="260"/>
      <c r="J154" s="260"/>
      <c r="K154" s="260"/>
      <c r="L154" s="260"/>
      <c r="M154" s="260"/>
      <c r="N154" s="260"/>
      <c r="O154" s="260"/>
      <c r="P154" s="260"/>
      <c r="Q154" s="260"/>
      <c r="R154" s="260"/>
      <c r="S154" s="260"/>
      <c r="T154" s="260"/>
      <c r="U154" s="260"/>
      <c r="V154" s="260"/>
      <c r="W154" s="260"/>
      <c r="X154" s="260"/>
      <c r="Y154" s="260"/>
      <c r="Z154" s="260"/>
      <c r="AA154" s="260"/>
      <c r="AB154" s="260"/>
      <c r="AC154" s="260"/>
      <c r="AD154" s="260"/>
      <c r="AE154" s="260"/>
      <c r="AF154" s="260"/>
      <c r="AG154" s="260"/>
      <c r="AH154" s="260"/>
      <c r="AI154" s="260"/>
      <c r="AJ154" s="260"/>
      <c r="AK154" s="260"/>
      <c r="AL154" s="260"/>
      <c r="AM154" s="260"/>
      <c r="AN154" s="260"/>
    </row>
    <row r="155" spans="1:40" ht="40.5" customHeight="1">
      <c r="A155" s="360">
        <f>+A118</f>
        <v>0</v>
      </c>
      <c r="B155" s="360"/>
      <c r="C155" s="360"/>
      <c r="D155" s="360"/>
      <c r="E155" s="360"/>
      <c r="F155" s="360"/>
      <c r="G155" s="360"/>
      <c r="H155" s="360"/>
      <c r="I155" s="360"/>
      <c r="J155" s="360"/>
      <c r="K155" s="360"/>
      <c r="L155" s="360"/>
      <c r="M155" s="360"/>
      <c r="N155" s="360"/>
      <c r="O155" s="360"/>
      <c r="P155" s="360"/>
      <c r="Q155" s="360"/>
      <c r="R155" s="360"/>
      <c r="S155" s="360"/>
      <c r="T155" s="360"/>
      <c r="U155" s="360"/>
      <c r="V155" s="360"/>
      <c r="W155" s="360"/>
      <c r="X155" s="360"/>
      <c r="Y155" s="360"/>
      <c r="Z155" s="360"/>
      <c r="AA155" s="360"/>
      <c r="AB155" s="360"/>
      <c r="AC155" s="360"/>
      <c r="AD155" s="360"/>
      <c r="AE155" s="360"/>
      <c r="AF155" s="360"/>
      <c r="AG155" s="360"/>
      <c r="AH155" s="360"/>
      <c r="AI155" s="360"/>
      <c r="AJ155" s="360"/>
      <c r="AK155" s="360"/>
      <c r="AL155" s="360"/>
      <c r="AM155" s="360"/>
      <c r="AN155" s="360"/>
    </row>
    <row r="156" spans="1:40" ht="68.25" customHeight="1">
      <c r="A156" s="353" t="s">
        <v>58</v>
      </c>
      <c r="B156" s="353"/>
      <c r="C156" s="353"/>
      <c r="D156" s="353"/>
      <c r="E156" s="353"/>
      <c r="F156" s="353"/>
      <c r="G156" s="353"/>
      <c r="H156" s="353"/>
      <c r="I156" s="353"/>
      <c r="J156" s="353"/>
      <c r="K156" s="353"/>
      <c r="L156" s="353"/>
      <c r="M156" s="353"/>
      <c r="N156" s="353"/>
      <c r="O156" s="353" t="s">
        <v>59</v>
      </c>
      <c r="P156" s="353"/>
      <c r="Q156" s="353"/>
      <c r="R156" s="353"/>
      <c r="S156" s="353"/>
      <c r="T156" s="353"/>
      <c r="U156" s="353"/>
      <c r="V156" s="353"/>
      <c r="W156" s="353"/>
      <c r="X156" s="353" t="s">
        <v>60</v>
      </c>
      <c r="Y156" s="353"/>
      <c r="Z156" s="353"/>
      <c r="AA156" s="353"/>
      <c r="AB156" s="353"/>
      <c r="AC156" s="353"/>
      <c r="AD156" s="353"/>
      <c r="AE156" s="353"/>
      <c r="AF156" s="361" t="s">
        <v>1422</v>
      </c>
      <c r="AG156" s="361"/>
      <c r="AH156" s="361"/>
      <c r="AI156" s="361"/>
      <c r="AJ156" s="361"/>
      <c r="AK156" s="361"/>
      <c r="AL156" s="361"/>
      <c r="AM156" s="361"/>
      <c r="AN156" s="361"/>
    </row>
    <row r="157" spans="1:40" ht="55.5" customHeight="1">
      <c r="A157" s="356"/>
      <c r="B157" s="356"/>
      <c r="C157" s="356"/>
      <c r="D157" s="356"/>
      <c r="E157" s="356"/>
      <c r="F157" s="356"/>
      <c r="G157" s="356"/>
      <c r="H157" s="356"/>
      <c r="I157" s="356"/>
      <c r="J157" s="356"/>
      <c r="K157" s="356"/>
      <c r="L157" s="356"/>
      <c r="M157" s="356"/>
      <c r="N157" s="356"/>
      <c r="O157" s="356"/>
      <c r="P157" s="356"/>
      <c r="Q157" s="356"/>
      <c r="R157" s="356"/>
      <c r="S157" s="356"/>
      <c r="T157" s="356"/>
      <c r="U157" s="356"/>
      <c r="V157" s="356"/>
      <c r="W157" s="356"/>
      <c r="X157" s="356"/>
      <c r="Y157" s="356"/>
      <c r="Z157" s="356"/>
      <c r="AA157" s="356"/>
      <c r="AB157" s="356"/>
      <c r="AC157" s="356"/>
      <c r="AD157" s="356"/>
      <c r="AE157" s="356"/>
      <c r="AF157" s="356"/>
      <c r="AG157" s="356"/>
      <c r="AH157" s="356"/>
      <c r="AI157" s="356"/>
      <c r="AJ157" s="356"/>
      <c r="AK157" s="356"/>
      <c r="AL157" s="356"/>
      <c r="AM157" s="356"/>
      <c r="AN157" s="356"/>
    </row>
    <row r="158" spans="1:40" ht="55.5" customHeight="1">
      <c r="A158" s="356"/>
      <c r="B158" s="356"/>
      <c r="C158" s="356"/>
      <c r="D158" s="356"/>
      <c r="E158" s="356"/>
      <c r="F158" s="356"/>
      <c r="G158" s="356"/>
      <c r="H158" s="356"/>
      <c r="I158" s="356"/>
      <c r="J158" s="356"/>
      <c r="K158" s="356"/>
      <c r="L158" s="356"/>
      <c r="M158" s="356"/>
      <c r="N158" s="356"/>
      <c r="O158" s="356"/>
      <c r="P158" s="356"/>
      <c r="Q158" s="356"/>
      <c r="R158" s="356"/>
      <c r="S158" s="356"/>
      <c r="T158" s="356"/>
      <c r="U158" s="356"/>
      <c r="V158" s="356"/>
      <c r="W158" s="356"/>
      <c r="X158" s="356"/>
      <c r="Y158" s="356"/>
      <c r="Z158" s="356"/>
      <c r="AA158" s="356"/>
      <c r="AB158" s="356"/>
      <c r="AC158" s="356"/>
      <c r="AD158" s="356"/>
      <c r="AE158" s="356"/>
      <c r="AF158" s="356"/>
      <c r="AG158" s="356"/>
      <c r="AH158" s="356"/>
      <c r="AI158" s="356"/>
      <c r="AJ158" s="356"/>
      <c r="AK158" s="356"/>
      <c r="AL158" s="356"/>
      <c r="AM158" s="356"/>
      <c r="AN158" s="356"/>
    </row>
    <row r="159" spans="1:40" ht="55.5" customHeight="1">
      <c r="A159" s="356"/>
      <c r="B159" s="356"/>
      <c r="C159" s="356"/>
      <c r="D159" s="356"/>
      <c r="E159" s="356"/>
      <c r="F159" s="356"/>
      <c r="G159" s="356"/>
      <c r="H159" s="356"/>
      <c r="I159" s="356"/>
      <c r="J159" s="356"/>
      <c r="K159" s="356"/>
      <c r="L159" s="356"/>
      <c r="M159" s="356"/>
      <c r="N159" s="356"/>
      <c r="O159" s="356"/>
      <c r="P159" s="356"/>
      <c r="Q159" s="356"/>
      <c r="R159" s="356"/>
      <c r="S159" s="356"/>
      <c r="T159" s="356"/>
      <c r="U159" s="356"/>
      <c r="V159" s="356"/>
      <c r="W159" s="356"/>
      <c r="X159" s="356"/>
      <c r="Y159" s="356"/>
      <c r="Z159" s="356"/>
      <c r="AA159" s="356"/>
      <c r="AB159" s="356"/>
      <c r="AC159" s="356"/>
      <c r="AD159" s="356"/>
      <c r="AE159" s="356"/>
      <c r="AF159" s="356"/>
      <c r="AG159" s="356"/>
      <c r="AH159" s="356"/>
      <c r="AI159" s="356"/>
      <c r="AJ159" s="356"/>
      <c r="AK159" s="356"/>
      <c r="AL159" s="356"/>
      <c r="AM159" s="356"/>
      <c r="AN159" s="356"/>
    </row>
    <row r="160" spans="1:40" ht="55.5" customHeight="1">
      <c r="A160" s="356"/>
      <c r="B160" s="356"/>
      <c r="C160" s="356"/>
      <c r="D160" s="356"/>
      <c r="E160" s="356"/>
      <c r="F160" s="356"/>
      <c r="G160" s="356"/>
      <c r="H160" s="356"/>
      <c r="I160" s="356"/>
      <c r="J160" s="356"/>
      <c r="K160" s="356"/>
      <c r="L160" s="356"/>
      <c r="M160" s="356"/>
      <c r="N160" s="356"/>
      <c r="O160" s="356"/>
      <c r="P160" s="356"/>
      <c r="Q160" s="356"/>
      <c r="R160" s="356"/>
      <c r="S160" s="356"/>
      <c r="T160" s="356"/>
      <c r="U160" s="356"/>
      <c r="V160" s="356"/>
      <c r="W160" s="356"/>
      <c r="X160" s="356"/>
      <c r="Y160" s="356"/>
      <c r="Z160" s="356"/>
      <c r="AA160" s="356"/>
      <c r="AB160" s="356"/>
      <c r="AC160" s="356"/>
      <c r="AD160" s="356"/>
      <c r="AE160" s="356"/>
      <c r="AF160" s="356"/>
      <c r="AG160" s="356"/>
      <c r="AH160" s="356"/>
      <c r="AI160" s="356"/>
      <c r="AJ160" s="356"/>
      <c r="AK160" s="356"/>
      <c r="AL160" s="356"/>
      <c r="AM160" s="356"/>
      <c r="AN160" s="356"/>
    </row>
    <row r="161" spans="1:40" ht="55.5" customHeight="1">
      <c r="A161" s="356"/>
      <c r="B161" s="356"/>
      <c r="C161" s="356"/>
      <c r="D161" s="356"/>
      <c r="E161" s="356"/>
      <c r="F161" s="356"/>
      <c r="G161" s="356"/>
      <c r="H161" s="356"/>
      <c r="I161" s="356"/>
      <c r="J161" s="356"/>
      <c r="K161" s="356"/>
      <c r="L161" s="356"/>
      <c r="M161" s="356"/>
      <c r="N161" s="356"/>
      <c r="O161" s="356"/>
      <c r="P161" s="356"/>
      <c r="Q161" s="356"/>
      <c r="R161" s="356"/>
      <c r="S161" s="356"/>
      <c r="T161" s="356"/>
      <c r="U161" s="356"/>
      <c r="V161" s="356"/>
      <c r="W161" s="356"/>
      <c r="X161" s="356"/>
      <c r="Y161" s="356"/>
      <c r="Z161" s="356"/>
      <c r="AA161" s="356"/>
      <c r="AB161" s="356"/>
      <c r="AC161" s="356"/>
      <c r="AD161" s="356"/>
      <c r="AE161" s="356"/>
      <c r="AF161" s="356"/>
      <c r="AG161" s="356"/>
      <c r="AH161" s="356"/>
      <c r="AI161" s="356"/>
      <c r="AJ161" s="356"/>
      <c r="AK161" s="356"/>
      <c r="AL161" s="356"/>
      <c r="AM161" s="356"/>
      <c r="AN161" s="356"/>
    </row>
    <row r="162" spans="1:40" ht="55.5" customHeight="1">
      <c r="A162" s="356"/>
      <c r="B162" s="356"/>
      <c r="C162" s="356"/>
      <c r="D162" s="356"/>
      <c r="E162" s="356"/>
      <c r="F162" s="356"/>
      <c r="G162" s="356"/>
      <c r="H162" s="356"/>
      <c r="I162" s="356"/>
      <c r="J162" s="356"/>
      <c r="K162" s="356"/>
      <c r="L162" s="356"/>
      <c r="M162" s="356"/>
      <c r="N162" s="356"/>
      <c r="O162" s="356"/>
      <c r="P162" s="356"/>
      <c r="Q162" s="356"/>
      <c r="R162" s="356"/>
      <c r="S162" s="356"/>
      <c r="T162" s="356"/>
      <c r="U162" s="356"/>
      <c r="V162" s="356"/>
      <c r="W162" s="356"/>
      <c r="X162" s="356"/>
      <c r="Y162" s="356"/>
      <c r="Z162" s="356"/>
      <c r="AA162" s="356"/>
      <c r="AB162" s="356"/>
      <c r="AC162" s="356"/>
      <c r="AD162" s="356"/>
      <c r="AE162" s="356"/>
      <c r="AF162" s="356"/>
      <c r="AG162" s="356"/>
      <c r="AH162" s="356"/>
      <c r="AI162" s="356"/>
      <c r="AJ162" s="356"/>
      <c r="AK162" s="356"/>
      <c r="AL162" s="356"/>
      <c r="AM162" s="356"/>
      <c r="AN162" s="356"/>
    </row>
    <row r="163" spans="1:40" ht="55.5" customHeight="1">
      <c r="A163" s="356"/>
      <c r="B163" s="356"/>
      <c r="C163" s="356"/>
      <c r="D163" s="356"/>
      <c r="E163" s="356"/>
      <c r="F163" s="356"/>
      <c r="G163" s="356"/>
      <c r="H163" s="356"/>
      <c r="I163" s="356"/>
      <c r="J163" s="356"/>
      <c r="K163" s="356"/>
      <c r="L163" s="356"/>
      <c r="M163" s="356"/>
      <c r="N163" s="356"/>
      <c r="O163" s="356"/>
      <c r="P163" s="356"/>
      <c r="Q163" s="356"/>
      <c r="R163" s="356"/>
      <c r="S163" s="356"/>
      <c r="T163" s="356"/>
      <c r="U163" s="356"/>
      <c r="V163" s="356"/>
      <c r="W163" s="356"/>
      <c r="X163" s="356"/>
      <c r="Y163" s="356"/>
      <c r="Z163" s="356"/>
      <c r="AA163" s="356"/>
      <c r="AB163" s="356"/>
      <c r="AC163" s="356"/>
      <c r="AD163" s="356"/>
      <c r="AE163" s="356"/>
      <c r="AF163" s="356"/>
      <c r="AG163" s="356"/>
      <c r="AH163" s="356"/>
      <c r="AI163" s="356"/>
      <c r="AJ163" s="356"/>
      <c r="AK163" s="356"/>
      <c r="AL163" s="356"/>
      <c r="AM163" s="356"/>
      <c r="AN163" s="356"/>
    </row>
    <row r="164" spans="1:40" ht="55.5" customHeight="1">
      <c r="A164" s="356"/>
      <c r="B164" s="356"/>
      <c r="C164" s="356"/>
      <c r="D164" s="356"/>
      <c r="E164" s="356"/>
      <c r="F164" s="356"/>
      <c r="G164" s="356"/>
      <c r="H164" s="356"/>
      <c r="I164" s="356"/>
      <c r="J164" s="356"/>
      <c r="K164" s="356"/>
      <c r="L164" s="356"/>
      <c r="M164" s="356"/>
      <c r="N164" s="356"/>
      <c r="O164" s="356"/>
      <c r="P164" s="356"/>
      <c r="Q164" s="356"/>
      <c r="R164" s="356"/>
      <c r="S164" s="356"/>
      <c r="T164" s="356"/>
      <c r="U164" s="356"/>
      <c r="V164" s="356"/>
      <c r="W164" s="356"/>
      <c r="X164" s="356"/>
      <c r="Y164" s="356"/>
      <c r="Z164" s="356"/>
      <c r="AA164" s="356"/>
      <c r="AB164" s="356"/>
      <c r="AC164" s="356"/>
      <c r="AD164" s="356"/>
      <c r="AE164" s="356"/>
      <c r="AF164" s="356"/>
      <c r="AG164" s="356"/>
      <c r="AH164" s="356"/>
      <c r="AI164" s="356"/>
      <c r="AJ164" s="356"/>
      <c r="AK164" s="356"/>
      <c r="AL164" s="356"/>
      <c r="AM164" s="356"/>
      <c r="AN164" s="356"/>
    </row>
    <row r="165" spans="1:40" ht="55.5" customHeight="1">
      <c r="A165" s="356"/>
      <c r="B165" s="356"/>
      <c r="C165" s="356"/>
      <c r="D165" s="356"/>
      <c r="E165" s="356"/>
      <c r="F165" s="356"/>
      <c r="G165" s="356"/>
      <c r="H165" s="356"/>
      <c r="I165" s="356"/>
      <c r="J165" s="356"/>
      <c r="K165" s="356"/>
      <c r="L165" s="356"/>
      <c r="M165" s="356"/>
      <c r="N165" s="356"/>
      <c r="O165" s="356"/>
      <c r="P165" s="356"/>
      <c r="Q165" s="356"/>
      <c r="R165" s="356"/>
      <c r="S165" s="356"/>
      <c r="T165" s="356"/>
      <c r="U165" s="356"/>
      <c r="V165" s="356"/>
      <c r="W165" s="356"/>
      <c r="X165" s="356"/>
      <c r="Y165" s="356"/>
      <c r="Z165" s="356"/>
      <c r="AA165" s="356"/>
      <c r="AB165" s="356"/>
      <c r="AC165" s="356"/>
      <c r="AD165" s="356"/>
      <c r="AE165" s="356"/>
      <c r="AF165" s="356"/>
      <c r="AG165" s="356"/>
      <c r="AH165" s="356"/>
      <c r="AI165" s="356"/>
      <c r="AJ165" s="356"/>
      <c r="AK165" s="356"/>
      <c r="AL165" s="356"/>
      <c r="AM165" s="356"/>
      <c r="AN165" s="356"/>
    </row>
    <row r="167" spans="1:40" ht="30" customHeight="1">
      <c r="A167" s="199" t="s">
        <v>1864</v>
      </c>
      <c r="B167" s="199"/>
      <c r="C167" s="199"/>
      <c r="D167" s="199"/>
      <c r="E167" s="199"/>
      <c r="F167" s="199"/>
      <c r="G167" s="199"/>
      <c r="H167" s="199"/>
      <c r="I167" s="199"/>
      <c r="J167" s="199"/>
      <c r="K167" s="199"/>
      <c r="L167" s="199"/>
      <c r="M167" s="199"/>
      <c r="N167" s="199"/>
      <c r="O167" s="199"/>
      <c r="P167" s="199"/>
      <c r="Q167" s="199"/>
      <c r="R167" s="199"/>
      <c r="S167" s="199"/>
      <c r="T167" s="199"/>
      <c r="U167" s="199"/>
      <c r="V167" s="199"/>
      <c r="W167" s="199"/>
      <c r="X167" s="199"/>
      <c r="Y167" s="199"/>
      <c r="Z167" s="199"/>
      <c r="AA167" s="199"/>
      <c r="AB167" s="199"/>
      <c r="AC167" s="199"/>
      <c r="AD167" s="199"/>
      <c r="AE167" s="199"/>
      <c r="AF167" s="199"/>
      <c r="AG167" s="199"/>
      <c r="AH167" s="199"/>
      <c r="AI167" s="199"/>
      <c r="AJ167" s="199"/>
      <c r="AK167" s="199"/>
      <c r="AL167" s="199"/>
      <c r="AM167" s="199"/>
      <c r="AN167" s="199"/>
    </row>
    <row r="169" spans="1:40" ht="36" customHeight="1">
      <c r="A169" s="349" t="s">
        <v>1904</v>
      </c>
      <c r="B169" s="349"/>
      <c r="C169" s="349"/>
      <c r="D169" s="349"/>
      <c r="E169" s="349"/>
      <c r="F169" s="349"/>
      <c r="G169" s="349"/>
      <c r="H169" s="349"/>
      <c r="I169" s="349"/>
      <c r="J169" s="349"/>
      <c r="K169" s="349"/>
      <c r="L169" s="349"/>
      <c r="M169" s="349"/>
      <c r="N169" s="349"/>
      <c r="O169" s="349"/>
      <c r="P169" s="349"/>
      <c r="Q169" s="349"/>
      <c r="R169" s="349"/>
      <c r="S169" s="349"/>
      <c r="T169" s="349"/>
      <c r="U169" s="349"/>
      <c r="V169" s="349"/>
      <c r="W169" s="349"/>
      <c r="X169" s="349"/>
      <c r="Y169" s="349"/>
      <c r="Z169" s="349"/>
      <c r="AA169" s="349"/>
      <c r="AB169" s="349"/>
      <c r="AC169" s="349"/>
      <c r="AD169" s="349"/>
      <c r="AE169" s="349"/>
      <c r="AF169" s="349"/>
      <c r="AG169" s="349"/>
      <c r="AH169" s="349"/>
      <c r="AI169" s="349"/>
      <c r="AJ169" s="349"/>
      <c r="AK169" s="349"/>
      <c r="AL169" s="349"/>
      <c r="AM169" s="349"/>
      <c r="AN169" s="349"/>
    </row>
    <row r="170" spans="1:40" ht="36" customHeight="1">
      <c r="A170" s="349"/>
      <c r="B170" s="349"/>
      <c r="C170" s="349"/>
      <c r="D170" s="349"/>
      <c r="E170" s="349"/>
      <c r="F170" s="349"/>
      <c r="G170" s="349"/>
      <c r="H170" s="349"/>
      <c r="I170" s="349"/>
      <c r="J170" s="349"/>
      <c r="K170" s="349"/>
      <c r="L170" s="349"/>
      <c r="M170" s="349"/>
      <c r="N170" s="349"/>
      <c r="O170" s="349"/>
      <c r="P170" s="349"/>
      <c r="Q170" s="349"/>
      <c r="R170" s="349"/>
      <c r="S170" s="349"/>
      <c r="T170" s="349"/>
      <c r="U170" s="349"/>
      <c r="V170" s="349"/>
      <c r="W170" s="349"/>
      <c r="X170" s="349"/>
      <c r="Y170" s="349"/>
      <c r="Z170" s="349"/>
      <c r="AA170" s="349"/>
      <c r="AB170" s="349"/>
      <c r="AC170" s="349"/>
      <c r="AD170" s="349"/>
      <c r="AE170" s="349"/>
      <c r="AF170" s="349"/>
      <c r="AG170" s="349"/>
      <c r="AH170" s="349"/>
      <c r="AI170" s="349"/>
      <c r="AJ170" s="349"/>
      <c r="AK170" s="349"/>
      <c r="AL170" s="349"/>
      <c r="AM170" s="349"/>
      <c r="AN170" s="349"/>
    </row>
    <row r="171" spans="1:40" ht="24">
      <c r="A171" s="64"/>
    </row>
    <row r="172" spans="1:40" ht="33.75" customHeight="1">
      <c r="A172" s="64"/>
      <c r="S172" s="357" t="s">
        <v>1345</v>
      </c>
      <c r="T172" s="358"/>
      <c r="U172" s="359"/>
    </row>
    <row r="173" spans="1:40" ht="30.75" customHeight="1">
      <c r="A173" s="264" t="s">
        <v>1341</v>
      </c>
      <c r="B173" s="264"/>
      <c r="C173" s="264"/>
      <c r="D173" s="264"/>
      <c r="E173" s="264"/>
      <c r="F173" s="264"/>
      <c r="G173" s="264"/>
      <c r="H173" s="264"/>
      <c r="I173" s="264"/>
      <c r="J173" s="264"/>
      <c r="K173" s="264"/>
      <c r="L173" s="264"/>
      <c r="M173" s="264"/>
      <c r="N173" s="264"/>
      <c r="O173" s="264"/>
      <c r="P173" s="264"/>
      <c r="Q173" s="264"/>
      <c r="R173" s="264"/>
      <c r="S173" s="256"/>
      <c r="T173" s="257"/>
      <c r="U173" s="258"/>
    </row>
    <row r="174" spans="1:40" ht="30.75" customHeight="1">
      <c r="A174" s="265" t="s">
        <v>1342</v>
      </c>
      <c r="B174" s="265"/>
      <c r="C174" s="265"/>
      <c r="D174" s="265"/>
      <c r="E174" s="265"/>
      <c r="F174" s="265"/>
      <c r="G174" s="265"/>
      <c r="H174" s="265"/>
      <c r="I174" s="265"/>
      <c r="J174" s="265"/>
      <c r="K174" s="265"/>
      <c r="L174" s="265"/>
      <c r="M174" s="265"/>
      <c r="N174" s="265"/>
      <c r="O174" s="265"/>
      <c r="P174" s="265"/>
      <c r="Q174" s="265"/>
      <c r="R174" s="265"/>
      <c r="S174" s="256"/>
      <c r="T174" s="257"/>
      <c r="U174" s="258"/>
    </row>
    <row r="175" spans="1:40" ht="30.75" customHeight="1">
      <c r="A175" s="264" t="s">
        <v>1346</v>
      </c>
      <c r="B175" s="264"/>
      <c r="C175" s="264"/>
      <c r="D175" s="264"/>
      <c r="E175" s="264"/>
      <c r="F175" s="264"/>
      <c r="G175" s="264"/>
      <c r="H175" s="264"/>
      <c r="I175" s="264"/>
      <c r="J175" s="264"/>
      <c r="K175" s="264"/>
      <c r="L175" s="264"/>
      <c r="M175" s="264"/>
      <c r="N175" s="264"/>
      <c r="O175" s="264"/>
      <c r="P175" s="264"/>
      <c r="Q175" s="264"/>
      <c r="R175" s="264"/>
      <c r="S175" s="256"/>
      <c r="T175" s="257"/>
      <c r="U175" s="258"/>
    </row>
    <row r="176" spans="1:40" ht="30.75" customHeight="1">
      <c r="A176" s="264" t="s">
        <v>1343</v>
      </c>
      <c r="B176" s="264"/>
      <c r="C176" s="264"/>
      <c r="D176" s="264"/>
      <c r="E176" s="264"/>
      <c r="F176" s="264"/>
      <c r="G176" s="264"/>
      <c r="H176" s="264"/>
      <c r="I176" s="264"/>
      <c r="J176" s="264"/>
      <c r="K176" s="264"/>
      <c r="L176" s="264"/>
      <c r="M176" s="264"/>
      <c r="N176" s="264"/>
      <c r="O176" s="264"/>
      <c r="P176" s="264"/>
      <c r="Q176" s="264"/>
      <c r="R176" s="264"/>
      <c r="S176" s="256"/>
      <c r="T176" s="257"/>
      <c r="U176" s="258"/>
    </row>
    <row r="177" spans="1:43" ht="30.75" customHeight="1">
      <c r="A177" s="264" t="s">
        <v>1344</v>
      </c>
      <c r="B177" s="264"/>
      <c r="C177" s="264"/>
      <c r="D177" s="264"/>
      <c r="E177" s="264"/>
      <c r="F177" s="264"/>
      <c r="G177" s="264"/>
      <c r="H177" s="264"/>
      <c r="I177" s="264"/>
      <c r="J177" s="264"/>
      <c r="K177" s="264"/>
      <c r="L177" s="264"/>
      <c r="M177" s="264"/>
      <c r="N177" s="264"/>
      <c r="O177" s="264"/>
      <c r="P177" s="264"/>
      <c r="Q177" s="264"/>
      <c r="R177" s="264"/>
      <c r="S177" s="256"/>
      <c r="T177" s="257"/>
      <c r="U177" s="258"/>
    </row>
    <row r="178" spans="1:43" ht="30.75" customHeight="1">
      <c r="A178" s="264" t="s">
        <v>74</v>
      </c>
      <c r="B178" s="264"/>
      <c r="C178" s="264"/>
      <c r="D178" s="264"/>
      <c r="E178" s="264"/>
      <c r="F178" s="264"/>
      <c r="G178" s="264"/>
      <c r="H178" s="264"/>
      <c r="I178" s="264"/>
      <c r="J178" s="264"/>
      <c r="K178" s="264"/>
      <c r="L178" s="264"/>
      <c r="M178" s="264"/>
      <c r="N178" s="264"/>
      <c r="O178" s="264"/>
      <c r="P178" s="264"/>
      <c r="Q178" s="264"/>
      <c r="R178" s="264"/>
      <c r="S178" s="256"/>
      <c r="T178" s="257"/>
      <c r="U178" s="258"/>
      <c r="V178" s="259" t="s">
        <v>70</v>
      </c>
      <c r="W178" s="260"/>
      <c r="X178" s="260"/>
      <c r="Y178" s="261"/>
      <c r="Z178" s="261"/>
      <c r="AA178" s="261"/>
      <c r="AB178" s="261"/>
      <c r="AC178" s="261"/>
      <c r="AD178" s="261"/>
      <c r="AE178" s="261"/>
      <c r="AF178" s="261"/>
      <c r="AG178" s="261"/>
      <c r="AH178" s="261"/>
      <c r="AI178" s="261"/>
      <c r="AJ178" s="261"/>
      <c r="AK178" s="261"/>
      <c r="AL178" s="261"/>
      <c r="AM178" s="261"/>
      <c r="AN178" s="261"/>
    </row>
    <row r="180" spans="1:43" ht="41.25" customHeight="1">
      <c r="A180" s="349" t="s">
        <v>1471</v>
      </c>
      <c r="B180" s="349"/>
      <c r="C180" s="349"/>
      <c r="D180" s="349"/>
      <c r="E180" s="349"/>
      <c r="F180" s="349"/>
      <c r="G180" s="349"/>
      <c r="H180" s="349"/>
      <c r="I180" s="349"/>
      <c r="J180" s="349"/>
      <c r="K180" s="349"/>
      <c r="L180" s="349"/>
      <c r="M180" s="349"/>
      <c r="N180" s="349"/>
      <c r="O180" s="349"/>
      <c r="P180" s="349"/>
      <c r="Q180" s="349"/>
      <c r="R180" s="349"/>
      <c r="S180" s="349"/>
      <c r="T180" s="349"/>
      <c r="U180" s="349"/>
      <c r="V180" s="349"/>
      <c r="W180" s="349"/>
      <c r="X180" s="349"/>
      <c r="Y180" s="349"/>
      <c r="Z180" s="349"/>
      <c r="AA180" s="349"/>
      <c r="AB180" s="349"/>
      <c r="AC180" s="349"/>
      <c r="AD180" s="349"/>
      <c r="AE180" s="349"/>
      <c r="AF180" s="349"/>
      <c r="AG180" s="349"/>
      <c r="AH180" s="349"/>
      <c r="AI180" s="349"/>
      <c r="AJ180" s="349"/>
      <c r="AK180" s="349"/>
      <c r="AL180" s="349"/>
      <c r="AM180" s="349"/>
      <c r="AN180" s="349"/>
      <c r="AO180" s="349"/>
      <c r="AP180" s="349"/>
      <c r="AQ180" s="349"/>
    </row>
    <row r="181" spans="1:43" ht="54.75" customHeight="1">
      <c r="A181" s="349"/>
      <c r="B181" s="349"/>
      <c r="C181" s="349"/>
      <c r="D181" s="349"/>
      <c r="E181" s="349"/>
      <c r="F181" s="349"/>
      <c r="G181" s="349"/>
      <c r="H181" s="349"/>
      <c r="I181" s="349"/>
      <c r="J181" s="349"/>
      <c r="K181" s="349"/>
      <c r="L181" s="349"/>
      <c r="M181" s="349"/>
      <c r="N181" s="349"/>
      <c r="O181" s="349"/>
      <c r="P181" s="349"/>
      <c r="Q181" s="349"/>
      <c r="R181" s="349"/>
      <c r="S181" s="349"/>
      <c r="T181" s="349"/>
      <c r="U181" s="349"/>
      <c r="V181" s="349"/>
      <c r="W181" s="349"/>
      <c r="X181" s="349"/>
      <c r="Y181" s="349"/>
      <c r="Z181" s="349"/>
      <c r="AA181" s="349"/>
      <c r="AB181" s="349"/>
      <c r="AC181" s="349"/>
      <c r="AD181" s="349"/>
      <c r="AE181" s="349"/>
      <c r="AF181" s="349"/>
      <c r="AG181" s="349"/>
      <c r="AH181" s="349"/>
      <c r="AI181" s="349"/>
      <c r="AJ181" s="349"/>
      <c r="AK181" s="349"/>
      <c r="AL181" s="349"/>
      <c r="AM181" s="349"/>
      <c r="AN181" s="349"/>
      <c r="AO181" s="349"/>
      <c r="AP181" s="349"/>
      <c r="AQ181" s="349"/>
    </row>
    <row r="183" spans="1:43" ht="42.75" customHeight="1">
      <c r="A183" s="353" t="s">
        <v>61</v>
      </c>
      <c r="B183" s="353"/>
      <c r="C183" s="353"/>
      <c r="D183" s="353"/>
      <c r="E183" s="353"/>
      <c r="F183" s="353"/>
      <c r="G183" s="353"/>
      <c r="H183" s="353"/>
      <c r="I183" s="353"/>
      <c r="J183" s="353"/>
      <c r="K183" s="354" t="s">
        <v>62</v>
      </c>
      <c r="L183" s="354"/>
      <c r="M183" s="354"/>
      <c r="N183" s="354"/>
      <c r="O183" s="354"/>
      <c r="P183" s="354"/>
      <c r="Q183" s="354"/>
      <c r="R183" s="354"/>
      <c r="S183" s="354"/>
      <c r="T183" s="354"/>
      <c r="U183" s="354"/>
      <c r="V183" s="354"/>
      <c r="W183" s="354"/>
      <c r="X183" s="354"/>
      <c r="Y183" s="354"/>
      <c r="Z183" s="354" t="s">
        <v>1463</v>
      </c>
      <c r="AA183" s="354"/>
      <c r="AB183" s="354"/>
      <c r="AC183" s="354"/>
      <c r="AD183" s="354"/>
      <c r="AE183" s="354"/>
      <c r="AF183" s="354"/>
      <c r="AG183" s="350" t="s">
        <v>1462</v>
      </c>
      <c r="AH183" s="354"/>
      <c r="AI183" s="354"/>
      <c r="AJ183" s="354"/>
      <c r="AK183" s="354"/>
      <c r="AL183" s="354"/>
      <c r="AM183" s="354"/>
      <c r="AN183" s="354"/>
    </row>
    <row r="184" spans="1:43" ht="129.94999999999999" customHeight="1">
      <c r="A184" s="355" t="s">
        <v>1432</v>
      </c>
      <c r="B184" s="355"/>
      <c r="C184" s="355"/>
      <c r="D184" s="355"/>
      <c r="E184" s="355"/>
      <c r="F184" s="355"/>
      <c r="G184" s="355"/>
      <c r="H184" s="355"/>
      <c r="I184" s="355"/>
      <c r="J184" s="355"/>
      <c r="K184" s="341"/>
      <c r="L184" s="342"/>
      <c r="M184" s="342"/>
      <c r="N184" s="342"/>
      <c r="O184" s="342"/>
      <c r="P184" s="342"/>
      <c r="Q184" s="342"/>
      <c r="R184" s="342"/>
      <c r="S184" s="342"/>
      <c r="T184" s="342"/>
      <c r="U184" s="342"/>
      <c r="V184" s="342"/>
      <c r="W184" s="342"/>
      <c r="X184" s="342"/>
      <c r="Y184" s="342"/>
      <c r="Z184" s="343"/>
      <c r="AA184" s="343"/>
      <c r="AB184" s="343"/>
      <c r="AC184" s="343"/>
      <c r="AD184" s="343"/>
      <c r="AE184" s="343"/>
      <c r="AF184" s="343"/>
      <c r="AG184" s="344"/>
      <c r="AH184" s="344"/>
      <c r="AI184" s="344"/>
      <c r="AJ184" s="344"/>
      <c r="AK184" s="344"/>
      <c r="AL184" s="344"/>
      <c r="AM184" s="344"/>
      <c r="AN184" s="344"/>
    </row>
    <row r="185" spans="1:43" ht="129.94999999999999" customHeight="1">
      <c r="A185" s="345"/>
      <c r="B185" s="345"/>
      <c r="C185" s="345"/>
      <c r="D185" s="345"/>
      <c r="E185" s="345"/>
      <c r="F185" s="345"/>
      <c r="G185" s="345"/>
      <c r="H185" s="345"/>
      <c r="I185" s="345"/>
      <c r="J185" s="345"/>
      <c r="K185" s="346"/>
      <c r="L185" s="347"/>
      <c r="M185" s="347"/>
      <c r="N185" s="347"/>
      <c r="O185" s="347"/>
      <c r="P185" s="347"/>
      <c r="Q185" s="347"/>
      <c r="R185" s="347"/>
      <c r="S185" s="347"/>
      <c r="T185" s="347"/>
      <c r="U185" s="347"/>
      <c r="V185" s="347"/>
      <c r="W185" s="347"/>
      <c r="X185" s="347"/>
      <c r="Y185" s="347"/>
      <c r="Z185" s="337"/>
      <c r="AA185" s="337"/>
      <c r="AB185" s="337"/>
      <c r="AC185" s="337"/>
      <c r="AD185" s="337"/>
      <c r="AE185" s="337"/>
      <c r="AF185" s="337"/>
      <c r="AG185" s="348"/>
      <c r="AH185" s="348"/>
      <c r="AI185" s="348"/>
      <c r="AJ185" s="348"/>
      <c r="AK185" s="348"/>
      <c r="AL185" s="348"/>
      <c r="AM185" s="348"/>
      <c r="AN185" s="348"/>
    </row>
    <row r="186" spans="1:43" ht="129.94999999999999" customHeight="1">
      <c r="A186" s="340"/>
      <c r="B186" s="340"/>
      <c r="C186" s="340"/>
      <c r="D186" s="340"/>
      <c r="E186" s="340"/>
      <c r="F186" s="340"/>
      <c r="G186" s="340"/>
      <c r="H186" s="340"/>
      <c r="I186" s="340"/>
      <c r="J186" s="340"/>
      <c r="K186" s="341"/>
      <c r="L186" s="342"/>
      <c r="M186" s="342"/>
      <c r="N186" s="342"/>
      <c r="O186" s="342"/>
      <c r="P186" s="342"/>
      <c r="Q186" s="342"/>
      <c r="R186" s="342"/>
      <c r="S186" s="342"/>
      <c r="T186" s="342"/>
      <c r="U186" s="342"/>
      <c r="V186" s="342"/>
      <c r="W186" s="342"/>
      <c r="X186" s="342"/>
      <c r="Y186" s="342"/>
      <c r="Z186" s="343"/>
      <c r="AA186" s="343"/>
      <c r="AB186" s="343"/>
      <c r="AC186" s="343"/>
      <c r="AD186" s="343"/>
      <c r="AE186" s="343"/>
      <c r="AF186" s="343"/>
      <c r="AG186" s="344"/>
      <c r="AH186" s="344"/>
      <c r="AI186" s="344"/>
      <c r="AJ186" s="344"/>
      <c r="AK186" s="344"/>
      <c r="AL186" s="344"/>
      <c r="AM186" s="344"/>
      <c r="AN186" s="344"/>
    </row>
    <row r="187" spans="1:43" ht="129.94999999999999" customHeight="1">
      <c r="A187" s="340"/>
      <c r="B187" s="340"/>
      <c r="C187" s="340"/>
      <c r="D187" s="340"/>
      <c r="E187" s="340"/>
      <c r="F187" s="340"/>
      <c r="G187" s="340"/>
      <c r="H187" s="340"/>
      <c r="I187" s="340"/>
      <c r="J187" s="340"/>
      <c r="K187" s="346"/>
      <c r="L187" s="347"/>
      <c r="M187" s="347"/>
      <c r="N187" s="347"/>
      <c r="O187" s="347"/>
      <c r="P187" s="347"/>
      <c r="Q187" s="347"/>
      <c r="R187" s="347"/>
      <c r="S187" s="347"/>
      <c r="T187" s="347"/>
      <c r="U187" s="347"/>
      <c r="V187" s="347"/>
      <c r="W187" s="347"/>
      <c r="X187" s="347"/>
      <c r="Y187" s="347"/>
      <c r="Z187" s="337"/>
      <c r="AA187" s="337"/>
      <c r="AB187" s="337"/>
      <c r="AC187" s="337"/>
      <c r="AD187" s="337"/>
      <c r="AE187" s="337"/>
      <c r="AF187" s="337"/>
      <c r="AG187" s="348"/>
      <c r="AH187" s="348"/>
      <c r="AI187" s="348"/>
      <c r="AJ187" s="348"/>
      <c r="AK187" s="348"/>
      <c r="AL187" s="348"/>
      <c r="AM187" s="348"/>
      <c r="AN187" s="348"/>
    </row>
    <row r="188" spans="1:43" ht="129.94999999999999" customHeight="1">
      <c r="A188" s="340"/>
      <c r="B188" s="340"/>
      <c r="C188" s="340"/>
      <c r="D188" s="340"/>
      <c r="E188" s="340"/>
      <c r="F188" s="340"/>
      <c r="G188" s="340"/>
      <c r="H188" s="340"/>
      <c r="I188" s="340"/>
      <c r="J188" s="340"/>
      <c r="K188" s="341"/>
      <c r="L188" s="342"/>
      <c r="M188" s="342"/>
      <c r="N188" s="342"/>
      <c r="O188" s="342"/>
      <c r="P188" s="342"/>
      <c r="Q188" s="342"/>
      <c r="R188" s="342"/>
      <c r="S188" s="342"/>
      <c r="T188" s="342"/>
      <c r="U188" s="342"/>
      <c r="V188" s="342"/>
      <c r="W188" s="342"/>
      <c r="X188" s="342"/>
      <c r="Y188" s="342"/>
      <c r="Z188" s="343"/>
      <c r="AA188" s="343"/>
      <c r="AB188" s="343"/>
      <c r="AC188" s="343"/>
      <c r="AD188" s="343"/>
      <c r="AE188" s="343"/>
      <c r="AF188" s="343"/>
      <c r="AG188" s="344"/>
      <c r="AH188" s="344"/>
      <c r="AI188" s="344"/>
      <c r="AJ188" s="344"/>
      <c r="AK188" s="344"/>
      <c r="AL188" s="344"/>
      <c r="AM188" s="344"/>
      <c r="AN188" s="344"/>
    </row>
    <row r="189" spans="1:43" ht="129.94999999999999" customHeight="1">
      <c r="A189" s="345"/>
      <c r="B189" s="345"/>
      <c r="C189" s="345"/>
      <c r="D189" s="345"/>
      <c r="E189" s="345"/>
      <c r="F189" s="345"/>
      <c r="G189" s="345"/>
      <c r="H189" s="345"/>
      <c r="I189" s="345"/>
      <c r="J189" s="345"/>
      <c r="K189" s="346"/>
      <c r="L189" s="347"/>
      <c r="M189" s="347"/>
      <c r="N189" s="347"/>
      <c r="O189" s="347"/>
      <c r="P189" s="347"/>
      <c r="Q189" s="347"/>
      <c r="R189" s="347"/>
      <c r="S189" s="347"/>
      <c r="T189" s="347"/>
      <c r="U189" s="347"/>
      <c r="V189" s="347"/>
      <c r="W189" s="347"/>
      <c r="X189" s="347"/>
      <c r="Y189" s="347"/>
      <c r="Z189" s="337"/>
      <c r="AA189" s="337"/>
      <c r="AB189" s="337"/>
      <c r="AC189" s="337"/>
      <c r="AD189" s="337"/>
      <c r="AE189" s="337"/>
      <c r="AF189" s="337"/>
      <c r="AG189" s="348"/>
      <c r="AH189" s="348"/>
      <c r="AI189" s="348"/>
      <c r="AJ189" s="348"/>
      <c r="AK189" s="348"/>
      <c r="AL189" s="348"/>
      <c r="AM189" s="348"/>
      <c r="AN189" s="348"/>
    </row>
    <row r="190" spans="1:43" ht="40.5" customHeight="1">
      <c r="A190" s="335" t="s">
        <v>78</v>
      </c>
      <c r="B190" s="335"/>
      <c r="C190" s="335"/>
      <c r="D190" s="335"/>
      <c r="E190" s="335"/>
      <c r="F190" s="335"/>
      <c r="G190" s="335"/>
      <c r="H190" s="335"/>
      <c r="I190" s="335"/>
      <c r="J190" s="335"/>
      <c r="K190" s="335"/>
      <c r="L190" s="335"/>
      <c r="M190" s="335"/>
      <c r="N190" s="335"/>
      <c r="O190" s="335"/>
      <c r="P190" s="335"/>
      <c r="Q190" s="335"/>
      <c r="R190" s="335"/>
      <c r="S190" s="335"/>
      <c r="T190" s="335"/>
      <c r="U190" s="335"/>
      <c r="V190" s="335"/>
      <c r="W190" s="335"/>
      <c r="X190" s="335"/>
      <c r="Y190" s="335"/>
      <c r="Z190" s="334">
        <f>+SUM(Z184:AF189)</f>
        <v>0</v>
      </c>
      <c r="AA190" s="334"/>
      <c r="AB190" s="334"/>
      <c r="AC190" s="334"/>
      <c r="AD190" s="334"/>
      <c r="AE190" s="334"/>
      <c r="AF190" s="334"/>
      <c r="AG190" s="334"/>
      <c r="AH190" s="334"/>
      <c r="AI190" s="334"/>
      <c r="AJ190" s="334"/>
      <c r="AK190" s="334"/>
      <c r="AL190" s="334"/>
      <c r="AM190" s="334"/>
      <c r="AN190" s="334"/>
    </row>
    <row r="193" spans="1:42" ht="30" customHeight="1">
      <c r="A193" s="198" t="s">
        <v>1868</v>
      </c>
      <c r="B193" s="198"/>
      <c r="C193" s="198"/>
      <c r="D193" s="198"/>
      <c r="E193" s="198"/>
      <c r="F193" s="198"/>
      <c r="G193" s="198"/>
      <c r="H193" s="198"/>
      <c r="I193" s="198"/>
      <c r="J193" s="198"/>
      <c r="K193" s="198"/>
      <c r="L193" s="198"/>
      <c r="M193" s="198"/>
      <c r="N193" s="198"/>
      <c r="O193" s="198"/>
      <c r="P193" s="198"/>
      <c r="Q193" s="198"/>
      <c r="R193" s="198"/>
      <c r="S193" s="198"/>
      <c r="T193" s="198"/>
      <c r="U193" s="198"/>
      <c r="V193" s="198"/>
      <c r="W193" s="198"/>
      <c r="X193" s="198"/>
      <c r="Y193" s="198"/>
      <c r="Z193" s="198"/>
      <c r="AA193" s="198"/>
      <c r="AB193" s="198"/>
      <c r="AC193" s="198"/>
      <c r="AD193" s="198"/>
      <c r="AE193" s="198"/>
      <c r="AF193" s="198"/>
      <c r="AG193" s="198"/>
      <c r="AH193" s="198"/>
      <c r="AI193" s="198"/>
      <c r="AJ193" s="198"/>
      <c r="AK193" s="198"/>
      <c r="AL193" s="198"/>
      <c r="AM193" s="198"/>
      <c r="AN193" s="198"/>
      <c r="AO193" s="198"/>
    </row>
    <row r="195" spans="1:42" ht="42" customHeight="1">
      <c r="A195" s="349" t="s">
        <v>1312</v>
      </c>
      <c r="B195" s="349"/>
      <c r="C195" s="349"/>
      <c r="D195" s="349"/>
      <c r="E195" s="349"/>
      <c r="F195" s="349"/>
      <c r="G195" s="349"/>
      <c r="H195" s="349"/>
      <c r="I195" s="349"/>
      <c r="J195" s="349"/>
      <c r="K195" s="349"/>
      <c r="L195" s="349"/>
      <c r="M195" s="349"/>
      <c r="N195" s="349"/>
      <c r="O195" s="349"/>
      <c r="P195" s="349"/>
      <c r="Q195" s="349"/>
      <c r="R195" s="349"/>
      <c r="S195" s="349"/>
      <c r="T195" s="349"/>
      <c r="U195" s="349"/>
      <c r="V195" s="349"/>
      <c r="W195" s="349"/>
      <c r="X195" s="349"/>
      <c r="Y195" s="349"/>
      <c r="Z195" s="349"/>
      <c r="AA195" s="349"/>
      <c r="AB195" s="349"/>
      <c r="AC195" s="349"/>
      <c r="AD195" s="349"/>
      <c r="AE195" s="349"/>
      <c r="AF195" s="349"/>
      <c r="AG195" s="349"/>
      <c r="AH195" s="349"/>
      <c r="AI195" s="349"/>
      <c r="AJ195" s="349"/>
      <c r="AK195" s="349"/>
      <c r="AL195" s="349"/>
      <c r="AM195" s="349"/>
      <c r="AN195" s="349"/>
    </row>
    <row r="197" spans="1:42" ht="61.5" customHeight="1">
      <c r="A197" s="350" t="s">
        <v>63</v>
      </c>
      <c r="B197" s="350"/>
      <c r="C197" s="350"/>
      <c r="D197" s="350"/>
      <c r="E197" s="350"/>
      <c r="F197" s="350"/>
      <c r="G197" s="350"/>
      <c r="H197" s="350"/>
      <c r="I197" s="350"/>
      <c r="J197" s="350"/>
      <c r="K197" s="350"/>
      <c r="L197" s="350"/>
      <c r="M197" s="350"/>
      <c r="N197" s="350"/>
      <c r="O197" s="350"/>
      <c r="P197" s="350"/>
      <c r="Q197" s="350"/>
      <c r="R197" s="350"/>
      <c r="S197" s="350"/>
      <c r="T197" s="350"/>
      <c r="U197" s="350"/>
      <c r="V197" s="350"/>
      <c r="W197" s="350"/>
      <c r="X197" s="350"/>
      <c r="Y197" s="350"/>
      <c r="Z197" s="350"/>
      <c r="AA197" s="350"/>
      <c r="AB197" s="350"/>
      <c r="AC197" s="350"/>
      <c r="AD197" s="350"/>
      <c r="AE197" s="350"/>
      <c r="AF197" s="350"/>
      <c r="AG197" s="350" t="s">
        <v>158</v>
      </c>
      <c r="AH197" s="350"/>
      <c r="AI197" s="350"/>
      <c r="AJ197" s="350"/>
      <c r="AK197" s="350"/>
      <c r="AL197" s="350"/>
      <c r="AM197" s="350"/>
      <c r="AN197" s="350"/>
    </row>
    <row r="198" spans="1:42" ht="45" customHeight="1">
      <c r="A198" s="351"/>
      <c r="B198" s="351"/>
      <c r="C198" s="351"/>
      <c r="D198" s="351"/>
      <c r="E198" s="351"/>
      <c r="F198" s="351"/>
      <c r="G198" s="351"/>
      <c r="H198" s="351"/>
      <c r="I198" s="351"/>
      <c r="J198" s="351"/>
      <c r="K198" s="351"/>
      <c r="L198" s="351"/>
      <c r="M198" s="351"/>
      <c r="N198" s="351"/>
      <c r="O198" s="351"/>
      <c r="P198" s="351"/>
      <c r="Q198" s="351"/>
      <c r="R198" s="351"/>
      <c r="S198" s="351"/>
      <c r="T198" s="351"/>
      <c r="U198" s="351"/>
      <c r="V198" s="351"/>
      <c r="W198" s="351"/>
      <c r="X198" s="351"/>
      <c r="Y198" s="351"/>
      <c r="Z198" s="351"/>
      <c r="AA198" s="351"/>
      <c r="AB198" s="351"/>
      <c r="AC198" s="351"/>
      <c r="AD198" s="351"/>
      <c r="AE198" s="351"/>
      <c r="AF198" s="351"/>
      <c r="AG198" s="343"/>
      <c r="AH198" s="343"/>
      <c r="AI198" s="343"/>
      <c r="AJ198" s="343"/>
      <c r="AK198" s="343"/>
      <c r="AL198" s="343"/>
      <c r="AM198" s="343"/>
      <c r="AN198" s="343"/>
      <c r="AO198" s="81">
        <f>+IF(AG198&gt;0,1,0)</f>
        <v>0</v>
      </c>
      <c r="AP198" s="81"/>
    </row>
    <row r="199" spans="1:42" ht="45" customHeight="1">
      <c r="A199" s="351"/>
      <c r="B199" s="351"/>
      <c r="C199" s="351"/>
      <c r="D199" s="351"/>
      <c r="E199" s="351"/>
      <c r="F199" s="351"/>
      <c r="G199" s="351"/>
      <c r="H199" s="351"/>
      <c r="I199" s="351"/>
      <c r="J199" s="351"/>
      <c r="K199" s="351"/>
      <c r="L199" s="351"/>
      <c r="M199" s="351"/>
      <c r="N199" s="351"/>
      <c r="O199" s="351"/>
      <c r="P199" s="351"/>
      <c r="Q199" s="351"/>
      <c r="R199" s="351"/>
      <c r="S199" s="351"/>
      <c r="T199" s="351"/>
      <c r="U199" s="351"/>
      <c r="V199" s="351"/>
      <c r="W199" s="351"/>
      <c r="X199" s="351"/>
      <c r="Y199" s="351"/>
      <c r="Z199" s="351"/>
      <c r="AA199" s="351"/>
      <c r="AB199" s="351"/>
      <c r="AC199" s="351"/>
      <c r="AD199" s="351"/>
      <c r="AE199" s="351"/>
      <c r="AF199" s="351"/>
      <c r="AG199" s="343"/>
      <c r="AH199" s="343"/>
      <c r="AI199" s="343"/>
      <c r="AJ199" s="343"/>
      <c r="AK199" s="343"/>
      <c r="AL199" s="343"/>
      <c r="AM199" s="343"/>
      <c r="AN199" s="343"/>
      <c r="AO199" s="81">
        <f>+IF(AG199&gt;0,1,0)</f>
        <v>0</v>
      </c>
      <c r="AP199" s="81"/>
    </row>
    <row r="200" spans="1:42" ht="45" customHeight="1">
      <c r="A200" s="336"/>
      <c r="B200" s="336"/>
      <c r="C200" s="336"/>
      <c r="D200" s="336"/>
      <c r="E200" s="336"/>
      <c r="F200" s="336"/>
      <c r="G200" s="336"/>
      <c r="H200" s="336"/>
      <c r="I200" s="336"/>
      <c r="J200" s="336"/>
      <c r="K200" s="336"/>
      <c r="L200" s="336"/>
      <c r="M200" s="336"/>
      <c r="N200" s="336"/>
      <c r="O200" s="336"/>
      <c r="P200" s="336"/>
      <c r="Q200" s="336"/>
      <c r="R200" s="336"/>
      <c r="S200" s="336"/>
      <c r="T200" s="336"/>
      <c r="U200" s="336"/>
      <c r="V200" s="336"/>
      <c r="W200" s="336"/>
      <c r="X200" s="336"/>
      <c r="Y200" s="336"/>
      <c r="Z200" s="336"/>
      <c r="AA200" s="336"/>
      <c r="AB200" s="336"/>
      <c r="AC200" s="336"/>
      <c r="AD200" s="336"/>
      <c r="AE200" s="336"/>
      <c r="AF200" s="336"/>
      <c r="AG200" s="337"/>
      <c r="AH200" s="337"/>
      <c r="AI200" s="337"/>
      <c r="AJ200" s="337"/>
      <c r="AK200" s="337"/>
      <c r="AL200" s="337"/>
      <c r="AM200" s="337"/>
      <c r="AN200" s="337"/>
      <c r="AO200" s="81">
        <f>+IF(AG200&gt;0,1,0)</f>
        <v>0</v>
      </c>
      <c r="AP200" s="81"/>
    </row>
    <row r="201" spans="1:42" ht="45" customHeight="1">
      <c r="A201" s="338" t="s">
        <v>78</v>
      </c>
      <c r="B201" s="338"/>
      <c r="C201" s="338"/>
      <c r="D201" s="338"/>
      <c r="E201" s="338"/>
      <c r="F201" s="338"/>
      <c r="G201" s="338"/>
      <c r="H201" s="338"/>
      <c r="I201" s="338"/>
      <c r="J201" s="338"/>
      <c r="K201" s="338"/>
      <c r="L201" s="338"/>
      <c r="M201" s="338"/>
      <c r="N201" s="338"/>
      <c r="O201" s="338"/>
      <c r="P201" s="338"/>
      <c r="Q201" s="338"/>
      <c r="R201" s="338"/>
      <c r="S201" s="338"/>
      <c r="T201" s="338"/>
      <c r="U201" s="338"/>
      <c r="V201" s="338"/>
      <c r="W201" s="338"/>
      <c r="X201" s="338"/>
      <c r="Y201" s="338"/>
      <c r="Z201" s="338"/>
      <c r="AA201" s="338"/>
      <c r="AB201" s="338"/>
      <c r="AC201" s="338"/>
      <c r="AD201" s="338"/>
      <c r="AE201" s="338"/>
      <c r="AF201" s="338"/>
      <c r="AG201" s="339">
        <f>SUM(AG198:AN200)</f>
        <v>0</v>
      </c>
      <c r="AH201" s="339"/>
      <c r="AI201" s="339"/>
      <c r="AJ201" s="339"/>
      <c r="AK201" s="339"/>
      <c r="AL201" s="339"/>
      <c r="AM201" s="339"/>
      <c r="AN201" s="339"/>
    </row>
    <row r="203" spans="1:42" ht="24">
      <c r="A203" s="260" t="s">
        <v>1436</v>
      </c>
      <c r="B203" s="260"/>
      <c r="C203" s="260"/>
      <c r="D203" s="260"/>
      <c r="E203" s="260"/>
      <c r="F203" s="260"/>
      <c r="G203" s="260"/>
      <c r="H203" s="260"/>
      <c r="I203" s="260"/>
      <c r="J203" s="260"/>
      <c r="K203" s="260"/>
      <c r="L203" s="260"/>
      <c r="M203" s="260"/>
      <c r="N203" s="260"/>
      <c r="O203" s="260"/>
      <c r="P203" s="260"/>
      <c r="Q203" s="260"/>
      <c r="R203" s="260"/>
      <c r="S203" s="260"/>
      <c r="T203" s="260"/>
      <c r="U203" s="260"/>
      <c r="V203" s="260"/>
      <c r="W203" s="260"/>
      <c r="X203" s="260"/>
      <c r="Y203" s="260"/>
      <c r="Z203" s="260"/>
      <c r="AA203" s="260"/>
      <c r="AB203" s="260"/>
      <c r="AC203" s="260"/>
      <c r="AD203" s="260"/>
      <c r="AE203" s="260"/>
      <c r="AF203" s="260"/>
      <c r="AG203" s="260"/>
      <c r="AH203" s="260"/>
      <c r="AI203" s="260"/>
      <c r="AJ203" s="260"/>
      <c r="AK203" s="260"/>
      <c r="AL203" s="260"/>
      <c r="AM203" s="260"/>
      <c r="AN203" s="260"/>
    </row>
    <row r="204" spans="1:42" ht="48" customHeight="1">
      <c r="A204" s="188" t="s">
        <v>64</v>
      </c>
      <c r="B204" s="188"/>
      <c r="C204" s="188"/>
      <c r="D204" s="188"/>
      <c r="E204" s="188"/>
      <c r="F204" s="188"/>
      <c r="G204" s="188"/>
      <c r="H204" s="188"/>
      <c r="I204" s="188"/>
      <c r="J204" s="188"/>
      <c r="K204" s="188" t="s">
        <v>65</v>
      </c>
      <c r="L204" s="188"/>
      <c r="M204" s="188"/>
      <c r="N204" s="188"/>
      <c r="O204" s="188" t="s">
        <v>1434</v>
      </c>
      <c r="P204" s="188"/>
      <c r="Q204" s="188"/>
      <c r="R204" s="188"/>
      <c r="S204" s="188"/>
      <c r="T204" s="188"/>
      <c r="U204" s="188"/>
      <c r="V204" s="188"/>
      <c r="W204" s="188"/>
      <c r="X204" s="188"/>
      <c r="Y204" s="188"/>
      <c r="Z204" s="188"/>
      <c r="AA204" s="188"/>
      <c r="AB204" s="188"/>
      <c r="AC204" s="188"/>
      <c r="AD204" s="188"/>
      <c r="AE204" s="188"/>
      <c r="AF204" s="188"/>
      <c r="AG204" s="352" t="s">
        <v>1449</v>
      </c>
      <c r="AH204" s="352"/>
      <c r="AI204" s="352"/>
      <c r="AJ204" s="352"/>
      <c r="AK204" s="352"/>
      <c r="AL204" s="352"/>
      <c r="AM204" s="352"/>
      <c r="AN204" s="352"/>
    </row>
    <row r="205" spans="1:42" ht="35.25" customHeight="1">
      <c r="A205" s="188" t="s">
        <v>66</v>
      </c>
      <c r="B205" s="188" t="s">
        <v>66</v>
      </c>
      <c r="C205" s="188" t="s">
        <v>66</v>
      </c>
      <c r="D205" s="188" t="s">
        <v>66</v>
      </c>
      <c r="E205" s="188" t="s">
        <v>66</v>
      </c>
      <c r="F205" s="188" t="s">
        <v>66</v>
      </c>
      <c r="G205" s="188" t="s">
        <v>66</v>
      </c>
      <c r="H205" s="188" t="s">
        <v>66</v>
      </c>
      <c r="I205" s="188" t="s">
        <v>66</v>
      </c>
      <c r="J205" s="188" t="s">
        <v>66</v>
      </c>
      <c r="K205" s="331"/>
      <c r="L205" s="331"/>
      <c r="M205" s="331"/>
      <c r="N205" s="331"/>
      <c r="O205" s="356"/>
      <c r="P205" s="356"/>
      <c r="Q205" s="356"/>
      <c r="R205" s="356"/>
      <c r="S205" s="356"/>
      <c r="T205" s="356"/>
      <c r="U205" s="356"/>
      <c r="V205" s="356"/>
      <c r="W205" s="356"/>
      <c r="X205" s="356"/>
      <c r="Y205" s="356"/>
      <c r="Z205" s="356"/>
      <c r="AA205" s="356"/>
      <c r="AB205" s="356"/>
      <c r="AC205" s="356"/>
      <c r="AD205" s="356"/>
      <c r="AE205" s="356"/>
      <c r="AF205" s="356"/>
      <c r="AG205" s="137"/>
      <c r="AH205" s="137"/>
      <c r="AI205" s="137"/>
      <c r="AJ205" s="137"/>
      <c r="AK205" s="137"/>
      <c r="AL205" s="137"/>
      <c r="AM205" s="137"/>
      <c r="AN205" s="137"/>
      <c r="AO205" s="81">
        <f>+IF(AG205&gt;0,1,0)</f>
        <v>0</v>
      </c>
    </row>
    <row r="206" spans="1:42" ht="35.25" customHeight="1">
      <c r="A206" s="188" t="s">
        <v>67</v>
      </c>
      <c r="B206" s="188" t="s">
        <v>67</v>
      </c>
      <c r="C206" s="188" t="s">
        <v>67</v>
      </c>
      <c r="D206" s="188" t="s">
        <v>67</v>
      </c>
      <c r="E206" s="188" t="s">
        <v>67</v>
      </c>
      <c r="F206" s="188" t="s">
        <v>67</v>
      </c>
      <c r="G206" s="188" t="s">
        <v>67</v>
      </c>
      <c r="H206" s="188" t="s">
        <v>67</v>
      </c>
      <c r="I206" s="188" t="s">
        <v>67</v>
      </c>
      <c r="J206" s="188" t="s">
        <v>67</v>
      </c>
      <c r="K206" s="331"/>
      <c r="L206" s="331"/>
      <c r="M206" s="331"/>
      <c r="N206" s="331"/>
      <c r="O206" s="356"/>
      <c r="P206" s="356"/>
      <c r="Q206" s="356"/>
      <c r="R206" s="356"/>
      <c r="S206" s="356"/>
      <c r="T206" s="356"/>
      <c r="U206" s="356"/>
      <c r="V206" s="356"/>
      <c r="W206" s="356"/>
      <c r="X206" s="356"/>
      <c r="Y206" s="356"/>
      <c r="Z206" s="356"/>
      <c r="AA206" s="356"/>
      <c r="AB206" s="356"/>
      <c r="AC206" s="356"/>
      <c r="AD206" s="356"/>
      <c r="AE206" s="356"/>
      <c r="AF206" s="356"/>
      <c r="AG206" s="137"/>
      <c r="AH206" s="137"/>
      <c r="AI206" s="137"/>
      <c r="AJ206" s="137"/>
      <c r="AK206" s="137"/>
      <c r="AL206" s="137"/>
      <c r="AM206" s="137"/>
      <c r="AN206" s="137"/>
      <c r="AO206" s="81">
        <f>+IF(AG206&gt;0,1,0)</f>
        <v>0</v>
      </c>
    </row>
    <row r="207" spans="1:42" ht="35.25" customHeight="1">
      <c r="A207" s="188" t="s">
        <v>68</v>
      </c>
      <c r="B207" s="188" t="s">
        <v>68</v>
      </c>
      <c r="C207" s="188" t="s">
        <v>68</v>
      </c>
      <c r="D207" s="188" t="s">
        <v>68</v>
      </c>
      <c r="E207" s="188" t="s">
        <v>68</v>
      </c>
      <c r="F207" s="188" t="s">
        <v>68</v>
      </c>
      <c r="G207" s="188" t="s">
        <v>68</v>
      </c>
      <c r="H207" s="188" t="s">
        <v>68</v>
      </c>
      <c r="I207" s="188" t="s">
        <v>68</v>
      </c>
      <c r="J207" s="188" t="s">
        <v>68</v>
      </c>
      <c r="K207" s="331"/>
      <c r="L207" s="331"/>
      <c r="M207" s="331"/>
      <c r="N207" s="331"/>
      <c r="O207" s="356"/>
      <c r="P207" s="356"/>
      <c r="Q207" s="356"/>
      <c r="R207" s="356"/>
      <c r="S207" s="356"/>
      <c r="T207" s="356"/>
      <c r="U207" s="356"/>
      <c r="V207" s="356"/>
      <c r="W207" s="356"/>
      <c r="X207" s="356"/>
      <c r="Y207" s="356"/>
      <c r="Z207" s="356" t="s">
        <v>70</v>
      </c>
      <c r="AA207" s="356"/>
      <c r="AB207" s="356"/>
      <c r="AC207" s="356"/>
      <c r="AD207" s="356"/>
      <c r="AE207" s="356"/>
      <c r="AF207" s="356"/>
      <c r="AG207" s="137"/>
      <c r="AH207" s="137"/>
      <c r="AI207" s="137"/>
      <c r="AJ207" s="137"/>
      <c r="AK207" s="137"/>
      <c r="AL207" s="137"/>
      <c r="AM207" s="137"/>
      <c r="AN207" s="137"/>
      <c r="AO207" s="81">
        <f>+IF(AG207&gt;0,1,0)</f>
        <v>0</v>
      </c>
    </row>
    <row r="208" spans="1:42" ht="35.25" customHeight="1">
      <c r="A208" s="188" t="s">
        <v>69</v>
      </c>
      <c r="B208" s="188" t="s">
        <v>69</v>
      </c>
      <c r="C208" s="188" t="s">
        <v>69</v>
      </c>
      <c r="D208" s="188" t="s">
        <v>69</v>
      </c>
      <c r="E208" s="188" t="s">
        <v>69</v>
      </c>
      <c r="F208" s="188" t="s">
        <v>69</v>
      </c>
      <c r="G208" s="188" t="s">
        <v>69</v>
      </c>
      <c r="H208" s="188" t="s">
        <v>69</v>
      </c>
      <c r="I208" s="188" t="s">
        <v>69</v>
      </c>
      <c r="J208" s="188" t="s">
        <v>69</v>
      </c>
      <c r="K208" s="331"/>
      <c r="L208" s="331"/>
      <c r="M208" s="331"/>
      <c r="N208" s="331"/>
      <c r="O208" s="356"/>
      <c r="P208" s="356"/>
      <c r="Q208" s="356"/>
      <c r="R208" s="356"/>
      <c r="S208" s="356"/>
      <c r="T208" s="356"/>
      <c r="U208" s="356"/>
      <c r="V208" s="356"/>
      <c r="W208" s="356"/>
      <c r="X208" s="356"/>
      <c r="Y208" s="356"/>
      <c r="Z208" s="356"/>
      <c r="AA208" s="356"/>
      <c r="AB208" s="356"/>
      <c r="AC208" s="356"/>
      <c r="AD208" s="356"/>
      <c r="AE208" s="356"/>
      <c r="AF208" s="356"/>
      <c r="AG208" s="137"/>
      <c r="AH208" s="137"/>
      <c r="AI208" s="137"/>
      <c r="AJ208" s="137"/>
      <c r="AK208" s="137"/>
      <c r="AL208" s="137"/>
      <c r="AM208" s="137"/>
      <c r="AN208" s="137"/>
      <c r="AO208" s="81">
        <f>+IF(AG208&gt;0,1,0)</f>
        <v>0</v>
      </c>
    </row>
    <row r="209" spans="1:41" ht="35.25" customHeight="1">
      <c r="A209" s="327" t="s">
        <v>1350</v>
      </c>
      <c r="B209" s="328"/>
      <c r="C209" s="328"/>
      <c r="D209" s="328"/>
      <c r="E209" s="328"/>
      <c r="F209" s="328"/>
      <c r="G209" s="328"/>
      <c r="H209" s="328"/>
      <c r="I209" s="328"/>
      <c r="J209" s="328"/>
      <c r="K209" s="328"/>
      <c r="L209" s="328"/>
      <c r="M209" s="328"/>
      <c r="N209" s="328"/>
      <c r="O209" s="328"/>
      <c r="P209" s="328"/>
      <c r="Q209" s="328"/>
      <c r="R209" s="328"/>
      <c r="S209" s="328"/>
      <c r="T209" s="328"/>
      <c r="U209" s="328"/>
      <c r="V209" s="328"/>
      <c r="W209" s="328"/>
      <c r="X209" s="328"/>
      <c r="Y209" s="328"/>
      <c r="Z209" s="328"/>
      <c r="AA209" s="328"/>
      <c r="AB209" s="328"/>
      <c r="AC209" s="328"/>
      <c r="AD209" s="328"/>
      <c r="AE209" s="328"/>
      <c r="AF209" s="329"/>
      <c r="AG209" s="330">
        <f>+SUM(AG205:AN208)</f>
        <v>0</v>
      </c>
      <c r="AH209" s="330"/>
      <c r="AI209" s="330"/>
      <c r="AJ209" s="330"/>
      <c r="AK209" s="330"/>
      <c r="AL209" s="330"/>
      <c r="AM209" s="330"/>
      <c r="AN209" s="330"/>
    </row>
    <row r="211" spans="1:41" ht="45.75" customHeight="1">
      <c r="A211" s="188" t="s">
        <v>1313</v>
      </c>
      <c r="B211" s="188"/>
      <c r="C211" s="188"/>
      <c r="D211" s="188"/>
      <c r="E211" s="188"/>
      <c r="F211" s="188"/>
      <c r="G211" s="188"/>
      <c r="H211" s="188"/>
      <c r="I211" s="188"/>
      <c r="J211" s="188"/>
      <c r="K211" s="188" t="s">
        <v>65</v>
      </c>
      <c r="L211" s="188"/>
      <c r="M211" s="188"/>
      <c r="N211" s="188"/>
      <c r="O211" s="188" t="s">
        <v>1434</v>
      </c>
      <c r="P211" s="188"/>
      <c r="Q211" s="188"/>
      <c r="R211" s="188"/>
      <c r="S211" s="188"/>
      <c r="T211" s="188"/>
      <c r="U211" s="188"/>
      <c r="V211" s="188"/>
      <c r="W211" s="188"/>
      <c r="X211" s="188"/>
      <c r="Y211" s="188"/>
      <c r="Z211" s="188"/>
      <c r="AA211" s="188"/>
      <c r="AB211" s="188"/>
      <c r="AC211" s="188"/>
      <c r="AD211" s="188"/>
      <c r="AE211" s="188"/>
      <c r="AF211" s="188"/>
      <c r="AG211" s="352" t="s">
        <v>1449</v>
      </c>
      <c r="AH211" s="352"/>
      <c r="AI211" s="352"/>
      <c r="AJ211" s="352"/>
      <c r="AK211" s="352"/>
      <c r="AL211" s="352"/>
      <c r="AM211" s="352"/>
      <c r="AN211" s="352"/>
    </row>
    <row r="212" spans="1:41" ht="35.25" customHeight="1">
      <c r="A212" s="188" t="s">
        <v>71</v>
      </c>
      <c r="B212" s="188" t="s">
        <v>71</v>
      </c>
      <c r="C212" s="188" t="s">
        <v>71</v>
      </c>
      <c r="D212" s="188" t="s">
        <v>71</v>
      </c>
      <c r="E212" s="188" t="s">
        <v>71</v>
      </c>
      <c r="F212" s="188" t="s">
        <v>71</v>
      </c>
      <c r="G212" s="188" t="s">
        <v>71</v>
      </c>
      <c r="H212" s="188" t="s">
        <v>71</v>
      </c>
      <c r="I212" s="188" t="s">
        <v>71</v>
      </c>
      <c r="J212" s="188" t="s">
        <v>71</v>
      </c>
      <c r="K212" s="331"/>
      <c r="L212" s="331"/>
      <c r="M212" s="331"/>
      <c r="N212" s="331"/>
      <c r="O212" s="332"/>
      <c r="P212" s="332"/>
      <c r="Q212" s="332"/>
      <c r="R212" s="332"/>
      <c r="S212" s="332"/>
      <c r="T212" s="332"/>
      <c r="U212" s="332"/>
      <c r="V212" s="332"/>
      <c r="W212" s="332"/>
      <c r="X212" s="332"/>
      <c r="Y212" s="332"/>
      <c r="Z212" s="332"/>
      <c r="AA212" s="332"/>
      <c r="AB212" s="332"/>
      <c r="AC212" s="332"/>
      <c r="AD212" s="332"/>
      <c r="AE212" s="332"/>
      <c r="AF212" s="332"/>
      <c r="AG212" s="137"/>
      <c r="AH212" s="137"/>
      <c r="AI212" s="137"/>
      <c r="AJ212" s="137"/>
      <c r="AK212" s="137"/>
      <c r="AL212" s="137"/>
      <c r="AM212" s="137"/>
      <c r="AN212" s="137"/>
      <c r="AO212" s="81">
        <f>+IF(AG212&gt;0,1,0)</f>
        <v>0</v>
      </c>
    </row>
    <row r="213" spans="1:41" ht="35.25" customHeight="1">
      <c r="A213" s="188" t="s">
        <v>72</v>
      </c>
      <c r="B213" s="188" t="s">
        <v>72</v>
      </c>
      <c r="C213" s="188" t="s">
        <v>72</v>
      </c>
      <c r="D213" s="188" t="s">
        <v>72</v>
      </c>
      <c r="E213" s="188" t="s">
        <v>72</v>
      </c>
      <c r="F213" s="188" t="s">
        <v>72</v>
      </c>
      <c r="G213" s="188" t="s">
        <v>72</v>
      </c>
      <c r="H213" s="188" t="s">
        <v>72</v>
      </c>
      <c r="I213" s="188" t="s">
        <v>72</v>
      </c>
      <c r="J213" s="188" t="s">
        <v>72</v>
      </c>
      <c r="K213" s="331"/>
      <c r="L213" s="331"/>
      <c r="M213" s="331"/>
      <c r="N213" s="331"/>
      <c r="O213" s="332"/>
      <c r="P213" s="332"/>
      <c r="Q213" s="332"/>
      <c r="R213" s="332"/>
      <c r="S213" s="332"/>
      <c r="T213" s="332"/>
      <c r="U213" s="332"/>
      <c r="V213" s="332"/>
      <c r="W213" s="332"/>
      <c r="X213" s="332"/>
      <c r="Y213" s="332"/>
      <c r="Z213" s="332"/>
      <c r="AA213" s="332"/>
      <c r="AB213" s="332"/>
      <c r="AC213" s="332"/>
      <c r="AD213" s="332"/>
      <c r="AE213" s="332"/>
      <c r="AF213" s="332"/>
      <c r="AG213" s="137"/>
      <c r="AH213" s="137"/>
      <c r="AI213" s="137"/>
      <c r="AJ213" s="137"/>
      <c r="AK213" s="137"/>
      <c r="AL213" s="137"/>
      <c r="AM213" s="137"/>
      <c r="AN213" s="137"/>
      <c r="AO213" s="81">
        <f>+IF(AG213&gt;0,1,0)</f>
        <v>0</v>
      </c>
    </row>
    <row r="214" spans="1:41" ht="35.25" customHeight="1">
      <c r="A214" s="188" t="s">
        <v>73</v>
      </c>
      <c r="B214" s="188" t="s">
        <v>73</v>
      </c>
      <c r="C214" s="188" t="s">
        <v>73</v>
      </c>
      <c r="D214" s="188" t="s">
        <v>73</v>
      </c>
      <c r="E214" s="188" t="s">
        <v>73</v>
      </c>
      <c r="F214" s="188" t="s">
        <v>73</v>
      </c>
      <c r="G214" s="188" t="s">
        <v>73</v>
      </c>
      <c r="H214" s="188" t="s">
        <v>73</v>
      </c>
      <c r="I214" s="188" t="s">
        <v>73</v>
      </c>
      <c r="J214" s="188" t="s">
        <v>73</v>
      </c>
      <c r="K214" s="331"/>
      <c r="L214" s="331"/>
      <c r="M214" s="331"/>
      <c r="N214" s="331"/>
      <c r="O214" s="332"/>
      <c r="P214" s="332"/>
      <c r="Q214" s="332"/>
      <c r="R214" s="332"/>
      <c r="S214" s="332"/>
      <c r="T214" s="332"/>
      <c r="U214" s="332"/>
      <c r="V214" s="332"/>
      <c r="W214" s="332"/>
      <c r="X214" s="332"/>
      <c r="Y214" s="332"/>
      <c r="Z214" s="332" t="s">
        <v>70</v>
      </c>
      <c r="AA214" s="332"/>
      <c r="AB214" s="332"/>
      <c r="AC214" s="332"/>
      <c r="AD214" s="332"/>
      <c r="AE214" s="332"/>
      <c r="AF214" s="332"/>
      <c r="AG214" s="137"/>
      <c r="AH214" s="137"/>
      <c r="AI214" s="137"/>
      <c r="AJ214" s="137"/>
      <c r="AK214" s="137"/>
      <c r="AL214" s="137"/>
      <c r="AM214" s="137"/>
      <c r="AN214" s="137"/>
      <c r="AO214" s="81">
        <f>+IF(AG214&gt;0,1,0)</f>
        <v>0</v>
      </c>
    </row>
    <row r="215" spans="1:41" ht="35.25" customHeight="1">
      <c r="A215" s="188" t="s">
        <v>74</v>
      </c>
      <c r="B215" s="188" t="s">
        <v>74</v>
      </c>
      <c r="C215" s="188" t="s">
        <v>74</v>
      </c>
      <c r="D215" s="188" t="s">
        <v>74</v>
      </c>
      <c r="E215" s="188" t="s">
        <v>74</v>
      </c>
      <c r="F215" s="188" t="s">
        <v>74</v>
      </c>
      <c r="G215" s="188" t="s">
        <v>74</v>
      </c>
      <c r="H215" s="188" t="s">
        <v>74</v>
      </c>
      <c r="I215" s="188" t="s">
        <v>74</v>
      </c>
      <c r="J215" s="188" t="s">
        <v>74</v>
      </c>
      <c r="K215" s="331"/>
      <c r="L215" s="331"/>
      <c r="M215" s="331"/>
      <c r="N215" s="331"/>
      <c r="O215" s="332"/>
      <c r="P215" s="332"/>
      <c r="Q215" s="332"/>
      <c r="R215" s="332"/>
      <c r="S215" s="332"/>
      <c r="T215" s="332"/>
      <c r="U215" s="332"/>
      <c r="V215" s="332"/>
      <c r="W215" s="332"/>
      <c r="X215" s="332"/>
      <c r="Y215" s="332"/>
      <c r="Z215" s="332"/>
      <c r="AA215" s="332"/>
      <c r="AB215" s="332"/>
      <c r="AC215" s="332"/>
      <c r="AD215" s="332"/>
      <c r="AE215" s="332"/>
      <c r="AF215" s="332"/>
      <c r="AG215" s="137"/>
      <c r="AH215" s="137"/>
      <c r="AI215" s="137"/>
      <c r="AJ215" s="137"/>
      <c r="AK215" s="137"/>
      <c r="AL215" s="137"/>
      <c r="AM215" s="137"/>
      <c r="AN215" s="137"/>
      <c r="AO215" s="81">
        <f>+IF(AG215&gt;0,1,0)</f>
        <v>0</v>
      </c>
    </row>
    <row r="216" spans="1:41" ht="35.25" customHeight="1">
      <c r="A216" s="327" t="s">
        <v>1350</v>
      </c>
      <c r="B216" s="328"/>
      <c r="C216" s="328"/>
      <c r="D216" s="328"/>
      <c r="E216" s="328"/>
      <c r="F216" s="328"/>
      <c r="G216" s="328"/>
      <c r="H216" s="328"/>
      <c r="I216" s="328"/>
      <c r="J216" s="328"/>
      <c r="K216" s="328"/>
      <c r="L216" s="328"/>
      <c r="M216" s="328"/>
      <c r="N216" s="328"/>
      <c r="O216" s="328"/>
      <c r="P216" s="328"/>
      <c r="Q216" s="328"/>
      <c r="R216" s="328"/>
      <c r="S216" s="328"/>
      <c r="T216" s="328"/>
      <c r="U216" s="328"/>
      <c r="V216" s="328"/>
      <c r="W216" s="328"/>
      <c r="X216" s="328"/>
      <c r="Y216" s="328"/>
      <c r="Z216" s="328"/>
      <c r="AA216" s="328"/>
      <c r="AB216" s="328"/>
      <c r="AC216" s="328"/>
      <c r="AD216" s="328"/>
      <c r="AE216" s="328"/>
      <c r="AF216" s="329"/>
      <c r="AG216" s="330">
        <f>+SUM(AG212:AN215)</f>
        <v>0</v>
      </c>
      <c r="AH216" s="330"/>
      <c r="AI216" s="330"/>
      <c r="AJ216" s="330"/>
      <c r="AK216" s="330"/>
      <c r="AL216" s="330"/>
      <c r="AM216" s="330"/>
      <c r="AN216" s="330"/>
    </row>
    <row r="218" spans="1:41" ht="30" customHeight="1">
      <c r="A218" s="199" t="s">
        <v>1874</v>
      </c>
      <c r="B218" s="199"/>
      <c r="C218" s="199"/>
      <c r="D218" s="199"/>
      <c r="E218" s="199"/>
      <c r="F218" s="199"/>
      <c r="G218" s="199"/>
      <c r="H218" s="199"/>
      <c r="I218" s="199"/>
      <c r="J218" s="199"/>
      <c r="K218" s="199"/>
      <c r="L218" s="199"/>
      <c r="M218" s="199"/>
      <c r="N218" s="199"/>
      <c r="O218" s="199"/>
      <c r="P218" s="199"/>
      <c r="Q218" s="199"/>
      <c r="R218" s="199"/>
      <c r="S218" s="199"/>
      <c r="T218" s="199"/>
      <c r="U218" s="199"/>
      <c r="V218" s="199"/>
      <c r="W218" s="199"/>
      <c r="X218" s="199"/>
      <c r="Y218" s="199"/>
      <c r="Z218" s="199"/>
      <c r="AA218" s="199"/>
      <c r="AB218" s="199"/>
      <c r="AC218" s="199"/>
      <c r="AD218" s="199"/>
      <c r="AE218" s="199"/>
      <c r="AF218" s="199"/>
      <c r="AG218" s="199"/>
      <c r="AH218" s="199"/>
      <c r="AI218" s="199"/>
      <c r="AJ218" s="199"/>
      <c r="AK218" s="199"/>
      <c r="AL218" s="199"/>
      <c r="AM218" s="199"/>
      <c r="AN218" s="199"/>
      <c r="AO218" s="199"/>
    </row>
    <row r="219" spans="1:41">
      <c r="A219" s="262" t="s">
        <v>1423</v>
      </c>
      <c r="B219" s="262"/>
      <c r="C219" s="262"/>
      <c r="D219" s="262"/>
      <c r="E219" s="262"/>
      <c r="F219" s="262"/>
      <c r="G219" s="262"/>
      <c r="H219" s="262"/>
      <c r="I219" s="262"/>
      <c r="J219" s="262"/>
      <c r="K219" s="262"/>
      <c r="L219" s="262"/>
      <c r="M219" s="262"/>
      <c r="N219" s="262"/>
      <c r="O219" s="262"/>
      <c r="P219" s="262"/>
      <c r="Q219" s="262"/>
      <c r="R219" s="262"/>
      <c r="S219" s="262"/>
      <c r="T219" s="262"/>
      <c r="U219" s="262"/>
      <c r="V219" s="262"/>
      <c r="W219" s="262"/>
      <c r="X219" s="262"/>
      <c r="Y219" s="262"/>
      <c r="Z219" s="262"/>
      <c r="AA219" s="262"/>
      <c r="AB219" s="262"/>
      <c r="AC219" s="262"/>
      <c r="AD219" s="262"/>
      <c r="AE219" s="262"/>
      <c r="AF219" s="262"/>
      <c r="AG219" s="262"/>
      <c r="AH219" s="262"/>
      <c r="AI219" s="262"/>
      <c r="AJ219" s="262"/>
      <c r="AK219" s="262"/>
      <c r="AL219" s="262"/>
      <c r="AM219" s="262"/>
      <c r="AN219" s="262"/>
    </row>
    <row r="220" spans="1:41" ht="50.45" customHeight="1">
      <c r="A220" s="262"/>
      <c r="B220" s="262"/>
      <c r="C220" s="262"/>
      <c r="D220" s="262"/>
      <c r="E220" s="262"/>
      <c r="F220" s="262"/>
      <c r="G220" s="262"/>
      <c r="H220" s="262"/>
      <c r="I220" s="262"/>
      <c r="J220" s="262"/>
      <c r="K220" s="262"/>
      <c r="L220" s="262"/>
      <c r="M220" s="262"/>
      <c r="N220" s="262"/>
      <c r="O220" s="262"/>
      <c r="P220" s="262"/>
      <c r="Q220" s="262"/>
      <c r="R220" s="262"/>
      <c r="S220" s="262"/>
      <c r="T220" s="262"/>
      <c r="U220" s="262"/>
      <c r="V220" s="262"/>
      <c r="W220" s="262"/>
      <c r="X220" s="262"/>
      <c r="Y220" s="262"/>
      <c r="Z220" s="262"/>
      <c r="AA220" s="262"/>
      <c r="AB220" s="262"/>
      <c r="AC220" s="262"/>
      <c r="AD220" s="262"/>
      <c r="AE220" s="262"/>
      <c r="AF220" s="262"/>
      <c r="AG220" s="262"/>
      <c r="AH220" s="262"/>
      <c r="AI220" s="262"/>
      <c r="AJ220" s="262"/>
      <c r="AK220" s="262"/>
      <c r="AL220" s="262"/>
      <c r="AM220" s="262"/>
      <c r="AN220" s="262"/>
    </row>
    <row r="222" spans="1:41">
      <c r="F222" s="221" t="s">
        <v>82</v>
      </c>
      <c r="G222" s="221"/>
      <c r="H222" s="221"/>
      <c r="I222" s="221"/>
      <c r="J222" s="221"/>
      <c r="K222" s="221"/>
    </row>
    <row r="223" spans="1:41" ht="27" customHeight="1">
      <c r="A223" s="325"/>
      <c r="B223" s="325"/>
      <c r="C223" s="325"/>
      <c r="D223" s="325"/>
      <c r="E223" s="325"/>
      <c r="F223" s="221" t="s">
        <v>80</v>
      </c>
      <c r="G223" s="221"/>
      <c r="H223" s="221"/>
      <c r="I223" s="221" t="s">
        <v>81</v>
      </c>
      <c r="J223" s="221"/>
      <c r="K223" s="221"/>
      <c r="L223" s="325"/>
      <c r="M223" s="325"/>
      <c r="N223" s="325"/>
    </row>
    <row r="224" spans="1:41" ht="39.950000000000003" customHeight="1">
      <c r="A224" s="325"/>
      <c r="B224" s="325"/>
      <c r="C224" s="325"/>
      <c r="D224" s="325"/>
      <c r="E224" s="325"/>
      <c r="F224" s="323"/>
      <c r="G224" s="323"/>
      <c r="H224" s="323"/>
      <c r="I224" s="323"/>
      <c r="J224" s="323"/>
      <c r="K224" s="323"/>
      <c r="L224" s="324"/>
      <c r="M224" s="325"/>
      <c r="N224" s="325"/>
    </row>
    <row r="226" spans="1:42">
      <c r="A226" s="333" t="s">
        <v>84</v>
      </c>
      <c r="B226" s="333"/>
      <c r="C226" s="333"/>
      <c r="D226" s="333"/>
      <c r="E226" s="333"/>
      <c r="F226" s="333"/>
      <c r="G226" s="333"/>
      <c r="H226" s="333"/>
      <c r="I226" s="333"/>
      <c r="J226" s="333"/>
      <c r="K226" s="333"/>
      <c r="L226" s="333"/>
      <c r="M226" s="333"/>
      <c r="N226" s="333"/>
      <c r="O226" s="333"/>
      <c r="P226" s="333"/>
      <c r="Q226" s="333"/>
      <c r="R226" s="333"/>
      <c r="S226" s="333"/>
      <c r="T226" s="333"/>
      <c r="U226" s="333"/>
      <c r="V226" s="333"/>
      <c r="W226" s="333"/>
      <c r="X226" s="333"/>
      <c r="Y226" s="333"/>
      <c r="Z226" s="333"/>
      <c r="AA226" s="333"/>
      <c r="AB226" s="333"/>
      <c r="AC226" s="333"/>
      <c r="AD226" s="333"/>
      <c r="AE226" s="333"/>
      <c r="AF226" s="333"/>
      <c r="AG226" s="333"/>
      <c r="AH226" s="333"/>
      <c r="AI226" s="333"/>
      <c r="AJ226" s="333"/>
      <c r="AK226" s="333"/>
      <c r="AL226" s="333"/>
      <c r="AM226" s="333"/>
      <c r="AN226" s="333"/>
    </row>
    <row r="228" spans="1:42" ht="27" customHeight="1">
      <c r="A228" s="312" t="s">
        <v>83</v>
      </c>
      <c r="B228" s="313"/>
      <c r="C228" s="313"/>
      <c r="D228" s="313"/>
      <c r="E228" s="313"/>
      <c r="F228" s="313"/>
      <c r="G228" s="313"/>
      <c r="H228" s="313"/>
      <c r="I228" s="313"/>
      <c r="J228" s="313"/>
      <c r="K228" s="313"/>
      <c r="L228" s="313"/>
      <c r="M228" s="313"/>
      <c r="N228" s="313"/>
      <c r="O228" s="313"/>
      <c r="P228" s="314"/>
      <c r="Q228" s="221" t="s">
        <v>79</v>
      </c>
      <c r="R228" s="221"/>
      <c r="S228" s="221"/>
      <c r="T228" s="221"/>
      <c r="U228" s="221"/>
      <c r="V228" s="221"/>
      <c r="W228" s="221" t="s">
        <v>80</v>
      </c>
      <c r="X228" s="221"/>
      <c r="Y228" s="221"/>
      <c r="Z228" s="221" t="s">
        <v>81</v>
      </c>
      <c r="AA228" s="221"/>
      <c r="AB228" s="221"/>
      <c r="AC228" s="221" t="s">
        <v>81</v>
      </c>
      <c r="AD228" s="221"/>
      <c r="AE228" s="221"/>
      <c r="AF228" s="221"/>
      <c r="AG228" s="221"/>
      <c r="AH228" s="221"/>
    </row>
    <row r="229" spans="1:42" ht="39.950000000000003" customHeight="1">
      <c r="A229" s="320">
        <f>+A116</f>
        <v>0</v>
      </c>
      <c r="B229" s="321"/>
      <c r="C229" s="321"/>
      <c r="D229" s="321"/>
      <c r="E229" s="321"/>
      <c r="F229" s="321"/>
      <c r="G229" s="321"/>
      <c r="H229" s="321"/>
      <c r="I229" s="321">
        <v>4500</v>
      </c>
      <c r="J229" s="321"/>
      <c r="K229" s="321"/>
      <c r="L229" s="321"/>
      <c r="M229" s="321"/>
      <c r="N229" s="321"/>
      <c r="O229" s="321"/>
      <c r="P229" s="322"/>
      <c r="Q229" s="137"/>
      <c r="R229" s="137"/>
      <c r="S229" s="137"/>
      <c r="T229" s="137"/>
      <c r="U229" s="137"/>
      <c r="V229" s="137"/>
      <c r="W229" s="185">
        <f>+Q229*(1+$F$224)</f>
        <v>0</v>
      </c>
      <c r="X229" s="185"/>
      <c r="Y229" s="185"/>
      <c r="Z229" s="185"/>
      <c r="AA229" s="185"/>
      <c r="AB229" s="185"/>
      <c r="AC229" s="185">
        <f>+W229*(1+$I$224)</f>
        <v>0</v>
      </c>
      <c r="AD229" s="185"/>
      <c r="AE229" s="185"/>
      <c r="AF229" s="185"/>
      <c r="AG229" s="185"/>
      <c r="AH229" s="185"/>
    </row>
    <row r="230" spans="1:42" ht="39.950000000000003" customHeight="1">
      <c r="A230" s="320">
        <f>+A117</f>
        <v>0</v>
      </c>
      <c r="B230" s="321"/>
      <c r="C230" s="321"/>
      <c r="D230" s="321"/>
      <c r="E230" s="321"/>
      <c r="F230" s="321"/>
      <c r="G230" s="321"/>
      <c r="H230" s="321"/>
      <c r="I230" s="321"/>
      <c r="J230" s="321"/>
      <c r="K230" s="321"/>
      <c r="L230" s="321"/>
      <c r="M230" s="321"/>
      <c r="N230" s="321"/>
      <c r="O230" s="321"/>
      <c r="P230" s="322"/>
      <c r="Q230" s="137"/>
      <c r="R230" s="137"/>
      <c r="S230" s="137"/>
      <c r="T230" s="137"/>
      <c r="U230" s="137"/>
      <c r="V230" s="137"/>
      <c r="W230" s="185">
        <f>+Q230*(1+$F$224)</f>
        <v>0</v>
      </c>
      <c r="X230" s="185"/>
      <c r="Y230" s="185"/>
      <c r="Z230" s="185"/>
      <c r="AA230" s="185"/>
      <c r="AB230" s="185"/>
      <c r="AC230" s="185">
        <f>+W230*(1+$I$224)</f>
        <v>0</v>
      </c>
      <c r="AD230" s="185"/>
      <c r="AE230" s="185"/>
      <c r="AF230" s="185"/>
      <c r="AG230" s="185"/>
      <c r="AH230" s="185"/>
    </row>
    <row r="231" spans="1:42" ht="39.950000000000003" customHeight="1">
      <c r="A231" s="320">
        <f>+A118</f>
        <v>0</v>
      </c>
      <c r="B231" s="321"/>
      <c r="C231" s="321"/>
      <c r="D231" s="321"/>
      <c r="E231" s="321"/>
      <c r="F231" s="321"/>
      <c r="G231" s="321"/>
      <c r="H231" s="321"/>
      <c r="I231" s="321"/>
      <c r="J231" s="321"/>
      <c r="K231" s="321"/>
      <c r="L231" s="321"/>
      <c r="M231" s="321"/>
      <c r="N231" s="321"/>
      <c r="O231" s="321"/>
      <c r="P231" s="322"/>
      <c r="Q231" s="137"/>
      <c r="R231" s="137"/>
      <c r="S231" s="137"/>
      <c r="T231" s="137"/>
      <c r="U231" s="137"/>
      <c r="V231" s="137"/>
      <c r="W231" s="185">
        <f>+Q231*(1+$F$224)</f>
        <v>0</v>
      </c>
      <c r="X231" s="185"/>
      <c r="Y231" s="185"/>
      <c r="Z231" s="185"/>
      <c r="AA231" s="185"/>
      <c r="AB231" s="185"/>
      <c r="AC231" s="185">
        <f>+W231*(1+$I$224)</f>
        <v>0</v>
      </c>
      <c r="AD231" s="185"/>
      <c r="AE231" s="185"/>
      <c r="AF231" s="185"/>
      <c r="AG231" s="185"/>
      <c r="AH231" s="185"/>
    </row>
    <row r="234" spans="1:42" ht="47.25" customHeight="1">
      <c r="A234" s="262" t="s">
        <v>103</v>
      </c>
      <c r="B234" s="262"/>
      <c r="C234" s="262"/>
      <c r="D234" s="262"/>
      <c r="E234" s="262"/>
      <c r="F234" s="262"/>
      <c r="G234" s="262"/>
      <c r="H234" s="262"/>
      <c r="I234" s="262"/>
      <c r="J234" s="262"/>
      <c r="K234" s="262"/>
      <c r="L234" s="262"/>
      <c r="M234" s="262"/>
      <c r="N234" s="262"/>
      <c r="O234" s="262"/>
      <c r="P234" s="262"/>
      <c r="Q234" s="262"/>
      <c r="R234" s="262"/>
      <c r="S234" s="262"/>
      <c r="T234" s="262"/>
      <c r="U234" s="262"/>
      <c r="V234" s="262"/>
      <c r="W234" s="262"/>
      <c r="X234" s="262"/>
      <c r="Y234" s="262"/>
      <c r="Z234" s="262"/>
      <c r="AA234" s="262"/>
      <c r="AB234" s="262"/>
      <c r="AC234" s="262"/>
      <c r="AD234" s="262"/>
      <c r="AE234" s="262"/>
      <c r="AF234" s="262"/>
      <c r="AG234" s="262"/>
      <c r="AH234" s="262"/>
      <c r="AI234" s="262"/>
      <c r="AJ234" s="262"/>
      <c r="AK234" s="262"/>
      <c r="AL234" s="262"/>
      <c r="AM234" s="262"/>
      <c r="AN234" s="262"/>
      <c r="AO234" s="262"/>
    </row>
    <row r="237" spans="1:42" ht="27" customHeight="1">
      <c r="A237" s="188" t="s">
        <v>85</v>
      </c>
      <c r="B237" s="188"/>
      <c r="C237" s="188"/>
      <c r="D237" s="188"/>
      <c r="E237" s="188"/>
      <c r="F237" s="188"/>
      <c r="G237" s="188"/>
      <c r="H237" s="188"/>
      <c r="I237" s="188"/>
      <c r="J237" s="188"/>
      <c r="K237" s="188"/>
      <c r="L237" s="188"/>
      <c r="M237" s="326">
        <f>+A229</f>
        <v>0</v>
      </c>
      <c r="N237" s="326"/>
      <c r="O237" s="326"/>
      <c r="P237" s="326"/>
      <c r="Q237" s="326"/>
      <c r="R237" s="326"/>
      <c r="S237" s="326"/>
      <c r="T237" s="326"/>
      <c r="U237" s="326"/>
      <c r="V237" s="326"/>
      <c r="W237" s="326"/>
      <c r="X237" s="326"/>
      <c r="Y237" s="326"/>
      <c r="Z237" s="326"/>
      <c r="AA237" s="326"/>
      <c r="AB237" s="326"/>
      <c r="AC237" s="326"/>
      <c r="AD237" s="326"/>
      <c r="AE237" s="326"/>
      <c r="AF237" s="326"/>
      <c r="AG237" s="326"/>
      <c r="AH237" s="326"/>
      <c r="AI237" s="326"/>
      <c r="AJ237" s="326"/>
      <c r="AK237" s="326"/>
      <c r="AL237" s="326"/>
      <c r="AM237" s="326"/>
      <c r="AN237" s="326"/>
      <c r="AO237" s="326"/>
      <c r="AP237" s="326"/>
    </row>
    <row r="239" spans="1:42" ht="27" customHeight="1">
      <c r="G239" s="188" t="s">
        <v>100</v>
      </c>
      <c r="H239" s="188"/>
      <c r="I239" s="188"/>
      <c r="J239" s="188"/>
      <c r="K239" s="188"/>
      <c r="L239" s="188"/>
      <c r="M239" s="188"/>
      <c r="N239" s="188"/>
      <c r="O239" s="188"/>
      <c r="P239" s="188"/>
      <c r="Q239" s="188"/>
      <c r="R239" s="188"/>
      <c r="S239" s="188" t="s">
        <v>101</v>
      </c>
      <c r="T239" s="188"/>
      <c r="U239" s="188"/>
      <c r="V239" s="188"/>
      <c r="W239" s="188"/>
      <c r="X239" s="188"/>
      <c r="Y239" s="188"/>
      <c r="Z239" s="188"/>
      <c r="AA239" s="188"/>
      <c r="AB239" s="188"/>
      <c r="AC239" s="188"/>
      <c r="AD239" s="188"/>
      <c r="AE239" s="188" t="s">
        <v>102</v>
      </c>
      <c r="AF239" s="188"/>
      <c r="AG239" s="188"/>
      <c r="AH239" s="188"/>
      <c r="AI239" s="188"/>
      <c r="AJ239" s="188"/>
      <c r="AK239" s="188"/>
      <c r="AL239" s="188"/>
      <c r="AM239" s="188"/>
      <c r="AN239" s="188"/>
      <c r="AO239" s="188"/>
      <c r="AP239" s="188"/>
    </row>
    <row r="240" spans="1:42" ht="29.25" customHeight="1">
      <c r="G240" s="298" t="s">
        <v>98</v>
      </c>
      <c r="H240" s="299"/>
      <c r="I240" s="299"/>
      <c r="J240" s="300"/>
      <c r="K240" s="298" t="s">
        <v>99</v>
      </c>
      <c r="L240" s="299"/>
      <c r="M240" s="299"/>
      <c r="N240" s="299"/>
      <c r="O240" s="299"/>
      <c r="P240" s="299"/>
      <c r="Q240" s="299"/>
      <c r="R240" s="300"/>
      <c r="S240" s="298" t="s">
        <v>98</v>
      </c>
      <c r="T240" s="299"/>
      <c r="U240" s="299"/>
      <c r="V240" s="300"/>
      <c r="W240" s="298" t="s">
        <v>99</v>
      </c>
      <c r="X240" s="299"/>
      <c r="Y240" s="299"/>
      <c r="Z240" s="299"/>
      <c r="AA240" s="299"/>
      <c r="AB240" s="299"/>
      <c r="AC240" s="299"/>
      <c r="AD240" s="300"/>
      <c r="AE240" s="298" t="s">
        <v>98</v>
      </c>
      <c r="AF240" s="299"/>
      <c r="AG240" s="299"/>
      <c r="AH240" s="300"/>
      <c r="AI240" s="298" t="s">
        <v>99</v>
      </c>
      <c r="AJ240" s="299"/>
      <c r="AK240" s="299"/>
      <c r="AL240" s="299"/>
      <c r="AM240" s="299"/>
      <c r="AN240" s="299"/>
      <c r="AO240" s="299"/>
      <c r="AP240" s="300"/>
    </row>
    <row r="241" spans="1:42" ht="39.950000000000003" customHeight="1">
      <c r="A241" s="221" t="s">
        <v>86</v>
      </c>
      <c r="B241" s="221"/>
      <c r="C241" s="221"/>
      <c r="D241" s="221"/>
      <c r="E241" s="221"/>
      <c r="F241" s="221"/>
      <c r="G241" s="256"/>
      <c r="H241" s="257"/>
      <c r="I241" s="257"/>
      <c r="J241" s="258"/>
      <c r="K241" s="284">
        <f>+G241*$Q$229</f>
        <v>0</v>
      </c>
      <c r="L241" s="285"/>
      <c r="M241" s="285"/>
      <c r="N241" s="285"/>
      <c r="O241" s="285"/>
      <c r="P241" s="285"/>
      <c r="Q241" s="285"/>
      <c r="R241" s="286"/>
      <c r="S241" s="256"/>
      <c r="T241" s="257"/>
      <c r="U241" s="257"/>
      <c r="V241" s="258"/>
      <c r="W241" s="284">
        <f>+S241*$W$229</f>
        <v>0</v>
      </c>
      <c r="X241" s="285"/>
      <c r="Y241" s="285"/>
      <c r="Z241" s="285"/>
      <c r="AA241" s="285"/>
      <c r="AB241" s="285"/>
      <c r="AC241" s="285"/>
      <c r="AD241" s="286"/>
      <c r="AE241" s="256"/>
      <c r="AF241" s="257"/>
      <c r="AG241" s="257"/>
      <c r="AH241" s="258"/>
      <c r="AI241" s="284">
        <f>+AE241*$AC$229</f>
        <v>0</v>
      </c>
      <c r="AJ241" s="285"/>
      <c r="AK241" s="285"/>
      <c r="AL241" s="285"/>
      <c r="AM241" s="285"/>
      <c r="AN241" s="285"/>
      <c r="AO241" s="285"/>
      <c r="AP241" s="286"/>
    </row>
    <row r="242" spans="1:42" ht="39.950000000000003" customHeight="1">
      <c r="A242" s="221" t="s">
        <v>87</v>
      </c>
      <c r="B242" s="221"/>
      <c r="C242" s="221"/>
      <c r="D242" s="221"/>
      <c r="E242" s="221"/>
      <c r="F242" s="221"/>
      <c r="G242" s="256"/>
      <c r="H242" s="257"/>
      <c r="I242" s="257"/>
      <c r="J242" s="258"/>
      <c r="K242" s="284">
        <f t="shared" ref="K242:K252" si="0">+G242*$Q$229</f>
        <v>0</v>
      </c>
      <c r="L242" s="285"/>
      <c r="M242" s="285"/>
      <c r="N242" s="285"/>
      <c r="O242" s="285"/>
      <c r="P242" s="285"/>
      <c r="Q242" s="285"/>
      <c r="R242" s="286"/>
      <c r="S242" s="256"/>
      <c r="T242" s="257"/>
      <c r="U242" s="257"/>
      <c r="V242" s="258"/>
      <c r="W242" s="284">
        <f t="shared" ref="W242:W252" si="1">+S242*$W$229</f>
        <v>0</v>
      </c>
      <c r="X242" s="285"/>
      <c r="Y242" s="285"/>
      <c r="Z242" s="285"/>
      <c r="AA242" s="285"/>
      <c r="AB242" s="285"/>
      <c r="AC242" s="285"/>
      <c r="AD242" s="286"/>
      <c r="AE242" s="256"/>
      <c r="AF242" s="257"/>
      <c r="AG242" s="257"/>
      <c r="AH242" s="258"/>
      <c r="AI242" s="284">
        <f t="shared" ref="AI242:AI252" si="2">+AE242*$AC$229</f>
        <v>0</v>
      </c>
      <c r="AJ242" s="285"/>
      <c r="AK242" s="285"/>
      <c r="AL242" s="285"/>
      <c r="AM242" s="285"/>
      <c r="AN242" s="285"/>
      <c r="AO242" s="285"/>
      <c r="AP242" s="286"/>
    </row>
    <row r="243" spans="1:42" ht="39.950000000000003" customHeight="1">
      <c r="A243" s="221" t="s">
        <v>88</v>
      </c>
      <c r="B243" s="221"/>
      <c r="C243" s="221"/>
      <c r="D243" s="221"/>
      <c r="E243" s="221"/>
      <c r="F243" s="221"/>
      <c r="G243" s="256"/>
      <c r="H243" s="257"/>
      <c r="I243" s="257"/>
      <c r="J243" s="258"/>
      <c r="K243" s="284">
        <f t="shared" si="0"/>
        <v>0</v>
      </c>
      <c r="L243" s="285"/>
      <c r="M243" s="285"/>
      <c r="N243" s="285"/>
      <c r="O243" s="285"/>
      <c r="P243" s="285"/>
      <c r="Q243" s="285"/>
      <c r="R243" s="286"/>
      <c r="S243" s="256"/>
      <c r="T243" s="257"/>
      <c r="U243" s="257"/>
      <c r="V243" s="258"/>
      <c r="W243" s="284">
        <f t="shared" si="1"/>
        <v>0</v>
      </c>
      <c r="X243" s="285"/>
      <c r="Y243" s="285"/>
      <c r="Z243" s="285"/>
      <c r="AA243" s="285"/>
      <c r="AB243" s="285"/>
      <c r="AC243" s="285"/>
      <c r="AD243" s="286"/>
      <c r="AE243" s="256"/>
      <c r="AF243" s="257"/>
      <c r="AG243" s="257"/>
      <c r="AH243" s="258"/>
      <c r="AI243" s="284">
        <f t="shared" si="2"/>
        <v>0</v>
      </c>
      <c r="AJ243" s="285"/>
      <c r="AK243" s="285"/>
      <c r="AL243" s="285"/>
      <c r="AM243" s="285"/>
      <c r="AN243" s="285"/>
      <c r="AO243" s="285"/>
      <c r="AP243" s="286"/>
    </row>
    <row r="244" spans="1:42" ht="39.950000000000003" customHeight="1">
      <c r="A244" s="221" t="s">
        <v>89</v>
      </c>
      <c r="B244" s="221"/>
      <c r="C244" s="221"/>
      <c r="D244" s="221"/>
      <c r="E244" s="221"/>
      <c r="F244" s="221"/>
      <c r="G244" s="256"/>
      <c r="H244" s="257"/>
      <c r="I244" s="257"/>
      <c r="J244" s="258"/>
      <c r="K244" s="284">
        <f t="shared" si="0"/>
        <v>0</v>
      </c>
      <c r="L244" s="285"/>
      <c r="M244" s="285"/>
      <c r="N244" s="285"/>
      <c r="O244" s="285"/>
      <c r="P244" s="285"/>
      <c r="Q244" s="285"/>
      <c r="R244" s="286"/>
      <c r="S244" s="256"/>
      <c r="T244" s="257"/>
      <c r="U244" s="257"/>
      <c r="V244" s="258"/>
      <c r="W244" s="284">
        <f t="shared" si="1"/>
        <v>0</v>
      </c>
      <c r="X244" s="285"/>
      <c r="Y244" s="285"/>
      <c r="Z244" s="285"/>
      <c r="AA244" s="285"/>
      <c r="AB244" s="285"/>
      <c r="AC244" s="285"/>
      <c r="AD244" s="286"/>
      <c r="AE244" s="256"/>
      <c r="AF244" s="257"/>
      <c r="AG244" s="257"/>
      <c r="AH244" s="258"/>
      <c r="AI244" s="284">
        <f t="shared" si="2"/>
        <v>0</v>
      </c>
      <c r="AJ244" s="285"/>
      <c r="AK244" s="285"/>
      <c r="AL244" s="285"/>
      <c r="AM244" s="285"/>
      <c r="AN244" s="285"/>
      <c r="AO244" s="285"/>
      <c r="AP244" s="286"/>
    </row>
    <row r="245" spans="1:42" ht="39.950000000000003" customHeight="1">
      <c r="A245" s="221" t="s">
        <v>90</v>
      </c>
      <c r="B245" s="221"/>
      <c r="C245" s="221"/>
      <c r="D245" s="221"/>
      <c r="E245" s="221"/>
      <c r="F245" s="221"/>
      <c r="G245" s="256"/>
      <c r="H245" s="257"/>
      <c r="I245" s="257"/>
      <c r="J245" s="258"/>
      <c r="K245" s="284">
        <f t="shared" si="0"/>
        <v>0</v>
      </c>
      <c r="L245" s="285"/>
      <c r="M245" s="285"/>
      <c r="N245" s="285"/>
      <c r="O245" s="285"/>
      <c r="P245" s="285"/>
      <c r="Q245" s="285"/>
      <c r="R245" s="286"/>
      <c r="S245" s="256"/>
      <c r="T245" s="257"/>
      <c r="U245" s="257"/>
      <c r="V245" s="258"/>
      <c r="W245" s="284">
        <f t="shared" si="1"/>
        <v>0</v>
      </c>
      <c r="X245" s="285"/>
      <c r="Y245" s="285"/>
      <c r="Z245" s="285"/>
      <c r="AA245" s="285"/>
      <c r="AB245" s="285"/>
      <c r="AC245" s="285"/>
      <c r="AD245" s="286"/>
      <c r="AE245" s="256"/>
      <c r="AF245" s="257"/>
      <c r="AG245" s="257"/>
      <c r="AH245" s="258"/>
      <c r="AI245" s="284">
        <f t="shared" si="2"/>
        <v>0</v>
      </c>
      <c r="AJ245" s="285"/>
      <c r="AK245" s="285"/>
      <c r="AL245" s="285"/>
      <c r="AM245" s="285"/>
      <c r="AN245" s="285"/>
      <c r="AO245" s="285"/>
      <c r="AP245" s="286"/>
    </row>
    <row r="246" spans="1:42" ht="39.950000000000003" customHeight="1">
      <c r="A246" s="221" t="s">
        <v>91</v>
      </c>
      <c r="B246" s="221"/>
      <c r="C246" s="221"/>
      <c r="D246" s="221"/>
      <c r="E246" s="221"/>
      <c r="F246" s="221"/>
      <c r="G246" s="256"/>
      <c r="H246" s="257"/>
      <c r="I246" s="257"/>
      <c r="J246" s="258"/>
      <c r="K246" s="284">
        <f t="shared" si="0"/>
        <v>0</v>
      </c>
      <c r="L246" s="285"/>
      <c r="M246" s="285"/>
      <c r="N246" s="285"/>
      <c r="O246" s="285"/>
      <c r="P246" s="285"/>
      <c r="Q246" s="285"/>
      <c r="R246" s="286"/>
      <c r="S246" s="256"/>
      <c r="T246" s="257"/>
      <c r="U246" s="257"/>
      <c r="V246" s="258"/>
      <c r="W246" s="284">
        <f t="shared" si="1"/>
        <v>0</v>
      </c>
      <c r="X246" s="285"/>
      <c r="Y246" s="285"/>
      <c r="Z246" s="285"/>
      <c r="AA246" s="285"/>
      <c r="AB246" s="285"/>
      <c r="AC246" s="285"/>
      <c r="AD246" s="286"/>
      <c r="AE246" s="256"/>
      <c r="AF246" s="257"/>
      <c r="AG246" s="257"/>
      <c r="AH246" s="258"/>
      <c r="AI246" s="284">
        <f t="shared" si="2"/>
        <v>0</v>
      </c>
      <c r="AJ246" s="285"/>
      <c r="AK246" s="285"/>
      <c r="AL246" s="285"/>
      <c r="AM246" s="285"/>
      <c r="AN246" s="285"/>
      <c r="AO246" s="285"/>
      <c r="AP246" s="286"/>
    </row>
    <row r="247" spans="1:42" ht="39.950000000000003" customHeight="1">
      <c r="A247" s="221" t="s">
        <v>92</v>
      </c>
      <c r="B247" s="221"/>
      <c r="C247" s="221"/>
      <c r="D247" s="221"/>
      <c r="E247" s="221"/>
      <c r="F247" s="221"/>
      <c r="G247" s="256"/>
      <c r="H247" s="257"/>
      <c r="I247" s="257"/>
      <c r="J247" s="258"/>
      <c r="K247" s="284">
        <f t="shared" si="0"/>
        <v>0</v>
      </c>
      <c r="L247" s="285"/>
      <c r="M247" s="285"/>
      <c r="N247" s="285"/>
      <c r="O247" s="285"/>
      <c r="P247" s="285"/>
      <c r="Q247" s="285"/>
      <c r="R247" s="286"/>
      <c r="S247" s="256"/>
      <c r="T247" s="257"/>
      <c r="U247" s="257"/>
      <c r="V247" s="258"/>
      <c r="W247" s="284">
        <f t="shared" si="1"/>
        <v>0</v>
      </c>
      <c r="X247" s="285"/>
      <c r="Y247" s="285"/>
      <c r="Z247" s="285"/>
      <c r="AA247" s="285"/>
      <c r="AB247" s="285"/>
      <c r="AC247" s="285"/>
      <c r="AD247" s="286"/>
      <c r="AE247" s="256"/>
      <c r="AF247" s="257"/>
      <c r="AG247" s="257"/>
      <c r="AH247" s="258"/>
      <c r="AI247" s="284">
        <f t="shared" si="2"/>
        <v>0</v>
      </c>
      <c r="AJ247" s="285"/>
      <c r="AK247" s="285"/>
      <c r="AL247" s="285"/>
      <c r="AM247" s="285"/>
      <c r="AN247" s="285"/>
      <c r="AO247" s="285"/>
      <c r="AP247" s="286"/>
    </row>
    <row r="248" spans="1:42" ht="39.950000000000003" customHeight="1">
      <c r="A248" s="221" t="s">
        <v>93</v>
      </c>
      <c r="B248" s="221"/>
      <c r="C248" s="221"/>
      <c r="D248" s="221"/>
      <c r="E248" s="221"/>
      <c r="F248" s="221"/>
      <c r="G248" s="256"/>
      <c r="H248" s="257"/>
      <c r="I248" s="257"/>
      <c r="J248" s="258"/>
      <c r="K248" s="284">
        <f t="shared" si="0"/>
        <v>0</v>
      </c>
      <c r="L248" s="285"/>
      <c r="M248" s="285"/>
      <c r="N248" s="285"/>
      <c r="O248" s="285"/>
      <c r="P248" s="285"/>
      <c r="Q248" s="285"/>
      <c r="R248" s="286"/>
      <c r="S248" s="256"/>
      <c r="T248" s="257"/>
      <c r="U248" s="257"/>
      <c r="V248" s="258"/>
      <c r="W248" s="284">
        <f t="shared" si="1"/>
        <v>0</v>
      </c>
      <c r="X248" s="285"/>
      <c r="Y248" s="285"/>
      <c r="Z248" s="285"/>
      <c r="AA248" s="285"/>
      <c r="AB248" s="285"/>
      <c r="AC248" s="285"/>
      <c r="AD248" s="286"/>
      <c r="AE248" s="256"/>
      <c r="AF248" s="257"/>
      <c r="AG248" s="257"/>
      <c r="AH248" s="258"/>
      <c r="AI248" s="284">
        <f t="shared" si="2"/>
        <v>0</v>
      </c>
      <c r="AJ248" s="285"/>
      <c r="AK248" s="285"/>
      <c r="AL248" s="285"/>
      <c r="AM248" s="285"/>
      <c r="AN248" s="285"/>
      <c r="AO248" s="285"/>
      <c r="AP248" s="286"/>
    </row>
    <row r="249" spans="1:42" ht="39.950000000000003" customHeight="1">
      <c r="A249" s="221" t="s">
        <v>94</v>
      </c>
      <c r="B249" s="221"/>
      <c r="C249" s="221"/>
      <c r="D249" s="221"/>
      <c r="E249" s="221"/>
      <c r="F249" s="221"/>
      <c r="G249" s="256"/>
      <c r="H249" s="257"/>
      <c r="I249" s="257"/>
      <c r="J249" s="258"/>
      <c r="K249" s="284">
        <f t="shared" si="0"/>
        <v>0</v>
      </c>
      <c r="L249" s="285"/>
      <c r="M249" s="285"/>
      <c r="N249" s="285"/>
      <c r="O249" s="285"/>
      <c r="P249" s="285"/>
      <c r="Q249" s="285"/>
      <c r="R249" s="286"/>
      <c r="S249" s="256"/>
      <c r="T249" s="257"/>
      <c r="U249" s="257"/>
      <c r="V249" s="258"/>
      <c r="W249" s="284">
        <f t="shared" si="1"/>
        <v>0</v>
      </c>
      <c r="X249" s="285"/>
      <c r="Y249" s="285"/>
      <c r="Z249" s="285"/>
      <c r="AA249" s="285"/>
      <c r="AB249" s="285"/>
      <c r="AC249" s="285"/>
      <c r="AD249" s="286"/>
      <c r="AE249" s="256"/>
      <c r="AF249" s="257"/>
      <c r="AG249" s="257"/>
      <c r="AH249" s="258"/>
      <c r="AI249" s="284">
        <f t="shared" si="2"/>
        <v>0</v>
      </c>
      <c r="AJ249" s="285"/>
      <c r="AK249" s="285"/>
      <c r="AL249" s="285"/>
      <c r="AM249" s="285"/>
      <c r="AN249" s="285"/>
      <c r="AO249" s="285"/>
      <c r="AP249" s="286"/>
    </row>
    <row r="250" spans="1:42" ht="39.950000000000003" customHeight="1">
      <c r="A250" s="221" t="s">
        <v>95</v>
      </c>
      <c r="B250" s="221"/>
      <c r="C250" s="221"/>
      <c r="D250" s="221"/>
      <c r="E250" s="221"/>
      <c r="F250" s="221"/>
      <c r="G250" s="256"/>
      <c r="H250" s="257"/>
      <c r="I250" s="257"/>
      <c r="J250" s="258"/>
      <c r="K250" s="284">
        <f t="shared" si="0"/>
        <v>0</v>
      </c>
      <c r="L250" s="285"/>
      <c r="M250" s="285"/>
      <c r="N250" s="285"/>
      <c r="O250" s="285"/>
      <c r="P250" s="285"/>
      <c r="Q250" s="285"/>
      <c r="R250" s="286"/>
      <c r="S250" s="256"/>
      <c r="T250" s="257"/>
      <c r="U250" s="257"/>
      <c r="V250" s="258"/>
      <c r="W250" s="284">
        <f t="shared" si="1"/>
        <v>0</v>
      </c>
      <c r="X250" s="285"/>
      <c r="Y250" s="285"/>
      <c r="Z250" s="285"/>
      <c r="AA250" s="285"/>
      <c r="AB250" s="285"/>
      <c r="AC250" s="285"/>
      <c r="AD250" s="286"/>
      <c r="AE250" s="256"/>
      <c r="AF250" s="257"/>
      <c r="AG250" s="257"/>
      <c r="AH250" s="258"/>
      <c r="AI250" s="284">
        <f t="shared" si="2"/>
        <v>0</v>
      </c>
      <c r="AJ250" s="285"/>
      <c r="AK250" s="285"/>
      <c r="AL250" s="285"/>
      <c r="AM250" s="285"/>
      <c r="AN250" s="285"/>
      <c r="AO250" s="285"/>
      <c r="AP250" s="286"/>
    </row>
    <row r="251" spans="1:42" ht="39.950000000000003" customHeight="1">
      <c r="A251" s="221" t="s">
        <v>96</v>
      </c>
      <c r="B251" s="221"/>
      <c r="C251" s="221"/>
      <c r="D251" s="221"/>
      <c r="E251" s="221"/>
      <c r="F251" s="221"/>
      <c r="G251" s="256"/>
      <c r="H251" s="257"/>
      <c r="I251" s="257"/>
      <c r="J251" s="258"/>
      <c r="K251" s="284">
        <f t="shared" si="0"/>
        <v>0</v>
      </c>
      <c r="L251" s="285"/>
      <c r="M251" s="285"/>
      <c r="N251" s="285"/>
      <c r="O251" s="285"/>
      <c r="P251" s="285"/>
      <c r="Q251" s="285"/>
      <c r="R251" s="286"/>
      <c r="S251" s="256"/>
      <c r="T251" s="257"/>
      <c r="U251" s="257"/>
      <c r="V251" s="258"/>
      <c r="W251" s="284">
        <f t="shared" si="1"/>
        <v>0</v>
      </c>
      <c r="X251" s="285"/>
      <c r="Y251" s="285"/>
      <c r="Z251" s="285"/>
      <c r="AA251" s="285"/>
      <c r="AB251" s="285"/>
      <c r="AC251" s="285"/>
      <c r="AD251" s="286"/>
      <c r="AE251" s="256"/>
      <c r="AF251" s="257"/>
      <c r="AG251" s="257"/>
      <c r="AH251" s="258"/>
      <c r="AI251" s="284">
        <f t="shared" si="2"/>
        <v>0</v>
      </c>
      <c r="AJ251" s="285"/>
      <c r="AK251" s="285"/>
      <c r="AL251" s="285"/>
      <c r="AM251" s="285"/>
      <c r="AN251" s="285"/>
      <c r="AO251" s="285"/>
      <c r="AP251" s="286"/>
    </row>
    <row r="252" spans="1:42" ht="39.950000000000003" customHeight="1">
      <c r="A252" s="221" t="s">
        <v>97</v>
      </c>
      <c r="B252" s="221"/>
      <c r="C252" s="221"/>
      <c r="D252" s="221"/>
      <c r="E252" s="221"/>
      <c r="F252" s="221"/>
      <c r="G252" s="256"/>
      <c r="H252" s="257"/>
      <c r="I252" s="257"/>
      <c r="J252" s="258"/>
      <c r="K252" s="284">
        <f t="shared" si="0"/>
        <v>0</v>
      </c>
      <c r="L252" s="285"/>
      <c r="M252" s="285"/>
      <c r="N252" s="285"/>
      <c r="O252" s="285"/>
      <c r="P252" s="285"/>
      <c r="Q252" s="285"/>
      <c r="R252" s="286"/>
      <c r="S252" s="256"/>
      <c r="T252" s="257"/>
      <c r="U252" s="257"/>
      <c r="V252" s="258"/>
      <c r="W252" s="284">
        <f t="shared" si="1"/>
        <v>0</v>
      </c>
      <c r="X252" s="285"/>
      <c r="Y252" s="285"/>
      <c r="Z252" s="285"/>
      <c r="AA252" s="285"/>
      <c r="AB252" s="285"/>
      <c r="AC252" s="285"/>
      <c r="AD252" s="286"/>
      <c r="AE252" s="256"/>
      <c r="AF252" s="257"/>
      <c r="AG252" s="257"/>
      <c r="AH252" s="258"/>
      <c r="AI252" s="284">
        <f t="shared" si="2"/>
        <v>0</v>
      </c>
      <c r="AJ252" s="285"/>
      <c r="AK252" s="285"/>
      <c r="AL252" s="285"/>
      <c r="AM252" s="285"/>
      <c r="AN252" s="285"/>
      <c r="AO252" s="285"/>
      <c r="AP252" s="286"/>
    </row>
    <row r="253" spans="1:42" ht="39.950000000000003" customHeight="1">
      <c r="A253" s="292" t="s">
        <v>78</v>
      </c>
      <c r="B253" s="292"/>
      <c r="C253" s="292"/>
      <c r="D253" s="292"/>
      <c r="E253" s="292"/>
      <c r="F253" s="292"/>
      <c r="G253" s="288">
        <f>SUM(G241:J252)</f>
        <v>0</v>
      </c>
      <c r="H253" s="289"/>
      <c r="I253" s="289"/>
      <c r="J253" s="290"/>
      <c r="K253" s="291">
        <f>SUM(K241:R252)</f>
        <v>0</v>
      </c>
      <c r="L253" s="289"/>
      <c r="M253" s="289"/>
      <c r="N253" s="289"/>
      <c r="O253" s="289"/>
      <c r="P253" s="289"/>
      <c r="Q253" s="289"/>
      <c r="R253" s="290"/>
      <c r="S253" s="288">
        <f>SUM(S241:V252)</f>
        <v>0</v>
      </c>
      <c r="T253" s="289"/>
      <c r="U253" s="289"/>
      <c r="V253" s="290"/>
      <c r="W253" s="291">
        <f>SUM(W241:AD252)</f>
        <v>0</v>
      </c>
      <c r="X253" s="289"/>
      <c r="Y253" s="289"/>
      <c r="Z253" s="289"/>
      <c r="AA253" s="289"/>
      <c r="AB253" s="289"/>
      <c r="AC253" s="289"/>
      <c r="AD253" s="290"/>
      <c r="AE253" s="288">
        <f>SUM(AE241:AH252)</f>
        <v>0</v>
      </c>
      <c r="AF253" s="289"/>
      <c r="AG253" s="289"/>
      <c r="AH253" s="290"/>
      <c r="AI253" s="291">
        <f>SUM(AI241:AP252)</f>
        <v>0</v>
      </c>
      <c r="AJ253" s="289"/>
      <c r="AK253" s="289"/>
      <c r="AL253" s="289"/>
      <c r="AM253" s="289"/>
      <c r="AN253" s="289"/>
      <c r="AO253" s="289"/>
      <c r="AP253" s="290"/>
    </row>
    <row r="255" spans="1:42" ht="27" customHeight="1">
      <c r="A255" s="188" t="s">
        <v>104</v>
      </c>
      <c r="B255" s="188"/>
      <c r="C255" s="188"/>
      <c r="D255" s="188"/>
      <c r="E255" s="188"/>
      <c r="F255" s="188"/>
      <c r="G255" s="188"/>
      <c r="H255" s="188"/>
      <c r="I255" s="188"/>
      <c r="J255" s="188"/>
      <c r="K255" s="188"/>
      <c r="L255" s="188"/>
      <c r="M255" s="319">
        <f>+A230</f>
        <v>0</v>
      </c>
      <c r="N255" s="319"/>
      <c r="O255" s="319"/>
      <c r="P255" s="319"/>
      <c r="Q255" s="319"/>
      <c r="R255" s="319"/>
      <c r="S255" s="319"/>
      <c r="T255" s="319"/>
      <c r="U255" s="319"/>
      <c r="V255" s="319"/>
      <c r="W255" s="319"/>
      <c r="X255" s="319"/>
      <c r="Y255" s="319"/>
      <c r="Z255" s="319"/>
      <c r="AA255" s="319"/>
      <c r="AB255" s="319"/>
      <c r="AC255" s="319"/>
      <c r="AD255" s="319"/>
      <c r="AE255" s="319"/>
      <c r="AF255" s="319"/>
      <c r="AG255" s="319"/>
      <c r="AH255" s="319"/>
      <c r="AI255" s="319"/>
      <c r="AJ255" s="319"/>
      <c r="AK255" s="319"/>
      <c r="AL255" s="319"/>
      <c r="AM255" s="319"/>
      <c r="AN255" s="319"/>
      <c r="AO255" s="319"/>
      <c r="AP255" s="319"/>
    </row>
    <row r="257" spans="1:42" ht="27" customHeight="1">
      <c r="G257" s="188" t="s">
        <v>100</v>
      </c>
      <c r="H257" s="188"/>
      <c r="I257" s="188"/>
      <c r="J257" s="188"/>
      <c r="K257" s="188"/>
      <c r="L257" s="188"/>
      <c r="M257" s="188"/>
      <c r="N257" s="188"/>
      <c r="O257" s="188"/>
      <c r="P257" s="188"/>
      <c r="Q257" s="188"/>
      <c r="R257" s="188"/>
      <c r="S257" s="188" t="s">
        <v>101</v>
      </c>
      <c r="T257" s="188"/>
      <c r="U257" s="188"/>
      <c r="V257" s="188"/>
      <c r="W257" s="188"/>
      <c r="X257" s="188"/>
      <c r="Y257" s="188"/>
      <c r="Z257" s="188"/>
      <c r="AA257" s="188"/>
      <c r="AB257" s="188"/>
      <c r="AC257" s="188"/>
      <c r="AD257" s="188"/>
      <c r="AE257" s="188" t="s">
        <v>102</v>
      </c>
      <c r="AF257" s="188"/>
      <c r="AG257" s="188"/>
      <c r="AH257" s="188"/>
      <c r="AI257" s="188"/>
      <c r="AJ257" s="188"/>
      <c r="AK257" s="188"/>
      <c r="AL257" s="188"/>
      <c r="AM257" s="188"/>
      <c r="AN257" s="188"/>
      <c r="AO257" s="188"/>
      <c r="AP257" s="188"/>
    </row>
    <row r="258" spans="1:42" ht="29.25" customHeight="1">
      <c r="G258" s="298" t="s">
        <v>98</v>
      </c>
      <c r="H258" s="299"/>
      <c r="I258" s="299"/>
      <c r="J258" s="300"/>
      <c r="K258" s="298" t="s">
        <v>99</v>
      </c>
      <c r="L258" s="299"/>
      <c r="M258" s="299"/>
      <c r="N258" s="299"/>
      <c r="O258" s="299"/>
      <c r="P258" s="299"/>
      <c r="Q258" s="299"/>
      <c r="R258" s="300"/>
      <c r="S258" s="298" t="s">
        <v>98</v>
      </c>
      <c r="T258" s="299"/>
      <c r="U258" s="299"/>
      <c r="V258" s="300"/>
      <c r="W258" s="298" t="s">
        <v>99</v>
      </c>
      <c r="X258" s="299"/>
      <c r="Y258" s="299"/>
      <c r="Z258" s="299"/>
      <c r="AA258" s="299"/>
      <c r="AB258" s="299"/>
      <c r="AC258" s="299"/>
      <c r="AD258" s="300"/>
      <c r="AE258" s="298" t="s">
        <v>98</v>
      </c>
      <c r="AF258" s="299"/>
      <c r="AG258" s="299"/>
      <c r="AH258" s="300"/>
      <c r="AI258" s="298" t="s">
        <v>99</v>
      </c>
      <c r="AJ258" s="299"/>
      <c r="AK258" s="299"/>
      <c r="AL258" s="299"/>
      <c r="AM258" s="299"/>
      <c r="AN258" s="299"/>
      <c r="AO258" s="299"/>
      <c r="AP258" s="300"/>
    </row>
    <row r="259" spans="1:42" ht="39.950000000000003" customHeight="1">
      <c r="A259" s="221" t="s">
        <v>86</v>
      </c>
      <c r="B259" s="221"/>
      <c r="C259" s="221"/>
      <c r="D259" s="221"/>
      <c r="E259" s="221"/>
      <c r="F259" s="221"/>
      <c r="G259" s="256"/>
      <c r="H259" s="257"/>
      <c r="I259" s="257"/>
      <c r="J259" s="258"/>
      <c r="K259" s="284">
        <f>+G259*$Q$230</f>
        <v>0</v>
      </c>
      <c r="L259" s="285"/>
      <c r="M259" s="285"/>
      <c r="N259" s="285"/>
      <c r="O259" s="285"/>
      <c r="P259" s="285"/>
      <c r="Q259" s="285"/>
      <c r="R259" s="286"/>
      <c r="S259" s="256"/>
      <c r="T259" s="257"/>
      <c r="U259" s="257"/>
      <c r="V259" s="258"/>
      <c r="W259" s="284">
        <f>+S259*$W$230</f>
        <v>0</v>
      </c>
      <c r="X259" s="285"/>
      <c r="Y259" s="285"/>
      <c r="Z259" s="285"/>
      <c r="AA259" s="285"/>
      <c r="AB259" s="285"/>
      <c r="AC259" s="285"/>
      <c r="AD259" s="286"/>
      <c r="AE259" s="256"/>
      <c r="AF259" s="257"/>
      <c r="AG259" s="257"/>
      <c r="AH259" s="258"/>
      <c r="AI259" s="284">
        <f>+AE259*$AC$230</f>
        <v>0</v>
      </c>
      <c r="AJ259" s="285"/>
      <c r="AK259" s="285"/>
      <c r="AL259" s="285"/>
      <c r="AM259" s="285"/>
      <c r="AN259" s="285"/>
      <c r="AO259" s="285"/>
      <c r="AP259" s="286"/>
    </row>
    <row r="260" spans="1:42" ht="39.950000000000003" customHeight="1">
      <c r="A260" s="221" t="s">
        <v>87</v>
      </c>
      <c r="B260" s="221"/>
      <c r="C260" s="221"/>
      <c r="D260" s="221"/>
      <c r="E260" s="221"/>
      <c r="F260" s="221"/>
      <c r="G260" s="256"/>
      <c r="H260" s="257"/>
      <c r="I260" s="257"/>
      <c r="J260" s="258"/>
      <c r="K260" s="284">
        <f t="shared" ref="K260:K270" si="3">+G260*$Q$230</f>
        <v>0</v>
      </c>
      <c r="L260" s="285"/>
      <c r="M260" s="285"/>
      <c r="N260" s="285"/>
      <c r="O260" s="285"/>
      <c r="P260" s="285"/>
      <c r="Q260" s="285"/>
      <c r="R260" s="286"/>
      <c r="S260" s="256"/>
      <c r="T260" s="257"/>
      <c r="U260" s="257"/>
      <c r="V260" s="258"/>
      <c r="W260" s="284">
        <f t="shared" ref="W260:W270" si="4">+S260*$W$230</f>
        <v>0</v>
      </c>
      <c r="X260" s="285"/>
      <c r="Y260" s="285"/>
      <c r="Z260" s="285"/>
      <c r="AA260" s="285"/>
      <c r="AB260" s="285"/>
      <c r="AC260" s="285"/>
      <c r="AD260" s="286"/>
      <c r="AE260" s="256"/>
      <c r="AF260" s="257"/>
      <c r="AG260" s="257"/>
      <c r="AH260" s="258"/>
      <c r="AI260" s="284">
        <f t="shared" ref="AI260:AI270" si="5">+AE260*$AC$230</f>
        <v>0</v>
      </c>
      <c r="AJ260" s="285"/>
      <c r="AK260" s="285"/>
      <c r="AL260" s="285"/>
      <c r="AM260" s="285"/>
      <c r="AN260" s="285"/>
      <c r="AO260" s="285"/>
      <c r="AP260" s="286"/>
    </row>
    <row r="261" spans="1:42" ht="39.950000000000003" customHeight="1">
      <c r="A261" s="221" t="s">
        <v>88</v>
      </c>
      <c r="B261" s="221"/>
      <c r="C261" s="221"/>
      <c r="D261" s="221"/>
      <c r="E261" s="221"/>
      <c r="F261" s="221"/>
      <c r="G261" s="256"/>
      <c r="H261" s="257"/>
      <c r="I261" s="257"/>
      <c r="J261" s="258"/>
      <c r="K261" s="284">
        <f t="shared" si="3"/>
        <v>0</v>
      </c>
      <c r="L261" s="285"/>
      <c r="M261" s="285"/>
      <c r="N261" s="285"/>
      <c r="O261" s="285"/>
      <c r="P261" s="285"/>
      <c r="Q261" s="285"/>
      <c r="R261" s="286"/>
      <c r="S261" s="256"/>
      <c r="T261" s="257"/>
      <c r="U261" s="257"/>
      <c r="V261" s="258"/>
      <c r="W261" s="284">
        <f t="shared" si="4"/>
        <v>0</v>
      </c>
      <c r="X261" s="285"/>
      <c r="Y261" s="285"/>
      <c r="Z261" s="285"/>
      <c r="AA261" s="285"/>
      <c r="AB261" s="285"/>
      <c r="AC261" s="285"/>
      <c r="AD261" s="286"/>
      <c r="AE261" s="256"/>
      <c r="AF261" s="257"/>
      <c r="AG261" s="257"/>
      <c r="AH261" s="258"/>
      <c r="AI261" s="284">
        <f t="shared" si="5"/>
        <v>0</v>
      </c>
      <c r="AJ261" s="285"/>
      <c r="AK261" s="285"/>
      <c r="AL261" s="285"/>
      <c r="AM261" s="285"/>
      <c r="AN261" s="285"/>
      <c r="AO261" s="285"/>
      <c r="AP261" s="286"/>
    </row>
    <row r="262" spans="1:42" ht="39.950000000000003" customHeight="1">
      <c r="A262" s="221" t="s">
        <v>89</v>
      </c>
      <c r="B262" s="221"/>
      <c r="C262" s="221"/>
      <c r="D262" s="221"/>
      <c r="E262" s="221"/>
      <c r="F262" s="221"/>
      <c r="G262" s="256"/>
      <c r="H262" s="257"/>
      <c r="I262" s="257"/>
      <c r="J262" s="258"/>
      <c r="K262" s="284">
        <f t="shared" si="3"/>
        <v>0</v>
      </c>
      <c r="L262" s="285"/>
      <c r="M262" s="285"/>
      <c r="N262" s="285"/>
      <c r="O262" s="285"/>
      <c r="P262" s="285"/>
      <c r="Q262" s="285"/>
      <c r="R262" s="286"/>
      <c r="S262" s="256"/>
      <c r="T262" s="257"/>
      <c r="U262" s="257"/>
      <c r="V262" s="258"/>
      <c r="W262" s="284">
        <f t="shared" si="4"/>
        <v>0</v>
      </c>
      <c r="X262" s="285"/>
      <c r="Y262" s="285"/>
      <c r="Z262" s="285"/>
      <c r="AA262" s="285"/>
      <c r="AB262" s="285"/>
      <c r="AC262" s="285"/>
      <c r="AD262" s="286"/>
      <c r="AE262" s="256"/>
      <c r="AF262" s="257"/>
      <c r="AG262" s="257"/>
      <c r="AH262" s="258"/>
      <c r="AI262" s="284">
        <f t="shared" si="5"/>
        <v>0</v>
      </c>
      <c r="AJ262" s="285"/>
      <c r="AK262" s="285"/>
      <c r="AL262" s="285"/>
      <c r="AM262" s="285"/>
      <c r="AN262" s="285"/>
      <c r="AO262" s="285"/>
      <c r="AP262" s="286"/>
    </row>
    <row r="263" spans="1:42" ht="39.950000000000003" customHeight="1">
      <c r="A263" s="221" t="s">
        <v>90</v>
      </c>
      <c r="B263" s="221"/>
      <c r="C263" s="221"/>
      <c r="D263" s="221"/>
      <c r="E263" s="221"/>
      <c r="F263" s="221"/>
      <c r="G263" s="256"/>
      <c r="H263" s="257"/>
      <c r="I263" s="257"/>
      <c r="J263" s="258"/>
      <c r="K263" s="284">
        <f t="shared" si="3"/>
        <v>0</v>
      </c>
      <c r="L263" s="285"/>
      <c r="M263" s="285"/>
      <c r="N263" s="285"/>
      <c r="O263" s="285"/>
      <c r="P263" s="285"/>
      <c r="Q263" s="285"/>
      <c r="R263" s="286"/>
      <c r="S263" s="256"/>
      <c r="T263" s="257"/>
      <c r="U263" s="257"/>
      <c r="V263" s="258"/>
      <c r="W263" s="284">
        <f t="shared" si="4"/>
        <v>0</v>
      </c>
      <c r="X263" s="285"/>
      <c r="Y263" s="285"/>
      <c r="Z263" s="285"/>
      <c r="AA263" s="285"/>
      <c r="AB263" s="285"/>
      <c r="AC263" s="285"/>
      <c r="AD263" s="286"/>
      <c r="AE263" s="256"/>
      <c r="AF263" s="257"/>
      <c r="AG263" s="257"/>
      <c r="AH263" s="258"/>
      <c r="AI263" s="284">
        <f t="shared" si="5"/>
        <v>0</v>
      </c>
      <c r="AJ263" s="285"/>
      <c r="AK263" s="285"/>
      <c r="AL263" s="285"/>
      <c r="AM263" s="285"/>
      <c r="AN263" s="285"/>
      <c r="AO263" s="285"/>
      <c r="AP263" s="286"/>
    </row>
    <row r="264" spans="1:42" ht="39.950000000000003" customHeight="1">
      <c r="A264" s="221" t="s">
        <v>91</v>
      </c>
      <c r="B264" s="221"/>
      <c r="C264" s="221"/>
      <c r="D264" s="221"/>
      <c r="E264" s="221"/>
      <c r="F264" s="221"/>
      <c r="G264" s="256"/>
      <c r="H264" s="257"/>
      <c r="I264" s="257"/>
      <c r="J264" s="258"/>
      <c r="K264" s="284">
        <f t="shared" si="3"/>
        <v>0</v>
      </c>
      <c r="L264" s="285"/>
      <c r="M264" s="285"/>
      <c r="N264" s="285"/>
      <c r="O264" s="285"/>
      <c r="P264" s="285"/>
      <c r="Q264" s="285"/>
      <c r="R264" s="286"/>
      <c r="S264" s="256"/>
      <c r="T264" s="257"/>
      <c r="U264" s="257"/>
      <c r="V264" s="258"/>
      <c r="W264" s="284">
        <f t="shared" si="4"/>
        <v>0</v>
      </c>
      <c r="X264" s="285"/>
      <c r="Y264" s="285"/>
      <c r="Z264" s="285"/>
      <c r="AA264" s="285"/>
      <c r="AB264" s="285"/>
      <c r="AC264" s="285"/>
      <c r="AD264" s="286"/>
      <c r="AE264" s="256"/>
      <c r="AF264" s="257"/>
      <c r="AG264" s="257"/>
      <c r="AH264" s="258"/>
      <c r="AI264" s="284">
        <f t="shared" si="5"/>
        <v>0</v>
      </c>
      <c r="AJ264" s="285"/>
      <c r="AK264" s="285"/>
      <c r="AL264" s="285"/>
      <c r="AM264" s="285"/>
      <c r="AN264" s="285"/>
      <c r="AO264" s="285"/>
      <c r="AP264" s="286"/>
    </row>
    <row r="265" spans="1:42" ht="39.950000000000003" customHeight="1">
      <c r="A265" s="221" t="s">
        <v>92</v>
      </c>
      <c r="B265" s="221"/>
      <c r="C265" s="221"/>
      <c r="D265" s="221"/>
      <c r="E265" s="221"/>
      <c r="F265" s="221"/>
      <c r="G265" s="256"/>
      <c r="H265" s="257"/>
      <c r="I265" s="257"/>
      <c r="J265" s="258"/>
      <c r="K265" s="284">
        <f t="shared" si="3"/>
        <v>0</v>
      </c>
      <c r="L265" s="285"/>
      <c r="M265" s="285"/>
      <c r="N265" s="285"/>
      <c r="O265" s="285"/>
      <c r="P265" s="285"/>
      <c r="Q265" s="285"/>
      <c r="R265" s="286"/>
      <c r="S265" s="256"/>
      <c r="T265" s="257"/>
      <c r="U265" s="257"/>
      <c r="V265" s="258"/>
      <c r="W265" s="284">
        <f t="shared" si="4"/>
        <v>0</v>
      </c>
      <c r="X265" s="285"/>
      <c r="Y265" s="285"/>
      <c r="Z265" s="285"/>
      <c r="AA265" s="285"/>
      <c r="AB265" s="285"/>
      <c r="AC265" s="285"/>
      <c r="AD265" s="286"/>
      <c r="AE265" s="256"/>
      <c r="AF265" s="257"/>
      <c r="AG265" s="257"/>
      <c r="AH265" s="258"/>
      <c r="AI265" s="284">
        <f t="shared" si="5"/>
        <v>0</v>
      </c>
      <c r="AJ265" s="285"/>
      <c r="AK265" s="285"/>
      <c r="AL265" s="285"/>
      <c r="AM265" s="285"/>
      <c r="AN265" s="285"/>
      <c r="AO265" s="285"/>
      <c r="AP265" s="286"/>
    </row>
    <row r="266" spans="1:42" ht="39.950000000000003" customHeight="1">
      <c r="A266" s="221" t="s">
        <v>93</v>
      </c>
      <c r="B266" s="221"/>
      <c r="C266" s="221"/>
      <c r="D266" s="221"/>
      <c r="E266" s="221"/>
      <c r="F266" s="221"/>
      <c r="G266" s="256"/>
      <c r="H266" s="257"/>
      <c r="I266" s="257"/>
      <c r="J266" s="258"/>
      <c r="K266" s="284">
        <f t="shared" si="3"/>
        <v>0</v>
      </c>
      <c r="L266" s="285"/>
      <c r="M266" s="285"/>
      <c r="N266" s="285"/>
      <c r="O266" s="285"/>
      <c r="P266" s="285"/>
      <c r="Q266" s="285"/>
      <c r="R266" s="286"/>
      <c r="S266" s="256"/>
      <c r="T266" s="257"/>
      <c r="U266" s="257"/>
      <c r="V266" s="258"/>
      <c r="W266" s="284">
        <f t="shared" si="4"/>
        <v>0</v>
      </c>
      <c r="X266" s="285"/>
      <c r="Y266" s="285"/>
      <c r="Z266" s="285"/>
      <c r="AA266" s="285"/>
      <c r="AB266" s="285"/>
      <c r="AC266" s="285"/>
      <c r="AD266" s="286"/>
      <c r="AE266" s="256"/>
      <c r="AF266" s="257"/>
      <c r="AG266" s="257"/>
      <c r="AH266" s="258"/>
      <c r="AI266" s="284">
        <f t="shared" si="5"/>
        <v>0</v>
      </c>
      <c r="AJ266" s="285"/>
      <c r="AK266" s="285"/>
      <c r="AL266" s="285"/>
      <c r="AM266" s="285"/>
      <c r="AN266" s="285"/>
      <c r="AO266" s="285"/>
      <c r="AP266" s="286"/>
    </row>
    <row r="267" spans="1:42" ht="39.950000000000003" customHeight="1">
      <c r="A267" s="221" t="s">
        <v>94</v>
      </c>
      <c r="B267" s="221"/>
      <c r="C267" s="221"/>
      <c r="D267" s="221"/>
      <c r="E267" s="221"/>
      <c r="F267" s="221"/>
      <c r="G267" s="256"/>
      <c r="H267" s="257"/>
      <c r="I267" s="257"/>
      <c r="J267" s="258"/>
      <c r="K267" s="284">
        <f t="shared" si="3"/>
        <v>0</v>
      </c>
      <c r="L267" s="285"/>
      <c r="M267" s="285"/>
      <c r="N267" s="285"/>
      <c r="O267" s="285"/>
      <c r="P267" s="285"/>
      <c r="Q267" s="285"/>
      <c r="R267" s="286"/>
      <c r="S267" s="256"/>
      <c r="T267" s="257"/>
      <c r="U267" s="257"/>
      <c r="V267" s="258"/>
      <c r="W267" s="284">
        <f t="shared" si="4"/>
        <v>0</v>
      </c>
      <c r="X267" s="285"/>
      <c r="Y267" s="285"/>
      <c r="Z267" s="285"/>
      <c r="AA267" s="285"/>
      <c r="AB267" s="285"/>
      <c r="AC267" s="285"/>
      <c r="AD267" s="286"/>
      <c r="AE267" s="256"/>
      <c r="AF267" s="257"/>
      <c r="AG267" s="257"/>
      <c r="AH267" s="258"/>
      <c r="AI267" s="284">
        <f t="shared" si="5"/>
        <v>0</v>
      </c>
      <c r="AJ267" s="285"/>
      <c r="AK267" s="285"/>
      <c r="AL267" s="285"/>
      <c r="AM267" s="285"/>
      <c r="AN267" s="285"/>
      <c r="AO267" s="285"/>
      <c r="AP267" s="286"/>
    </row>
    <row r="268" spans="1:42" ht="39.950000000000003" customHeight="1">
      <c r="A268" s="221" t="s">
        <v>95</v>
      </c>
      <c r="B268" s="221"/>
      <c r="C268" s="221"/>
      <c r="D268" s="221"/>
      <c r="E268" s="221"/>
      <c r="F268" s="221"/>
      <c r="G268" s="256"/>
      <c r="H268" s="257"/>
      <c r="I268" s="257"/>
      <c r="J268" s="258"/>
      <c r="K268" s="284">
        <f t="shared" si="3"/>
        <v>0</v>
      </c>
      <c r="L268" s="285"/>
      <c r="M268" s="285"/>
      <c r="N268" s="285"/>
      <c r="O268" s="285"/>
      <c r="P268" s="285"/>
      <c r="Q268" s="285"/>
      <c r="R268" s="286"/>
      <c r="S268" s="256"/>
      <c r="T268" s="257"/>
      <c r="U268" s="257"/>
      <c r="V268" s="258"/>
      <c r="W268" s="284">
        <f t="shared" si="4"/>
        <v>0</v>
      </c>
      <c r="X268" s="285"/>
      <c r="Y268" s="285"/>
      <c r="Z268" s="285"/>
      <c r="AA268" s="285"/>
      <c r="AB268" s="285"/>
      <c r="AC268" s="285"/>
      <c r="AD268" s="286"/>
      <c r="AE268" s="256"/>
      <c r="AF268" s="257"/>
      <c r="AG268" s="257"/>
      <c r="AH268" s="258"/>
      <c r="AI268" s="284">
        <f t="shared" si="5"/>
        <v>0</v>
      </c>
      <c r="AJ268" s="285"/>
      <c r="AK268" s="285"/>
      <c r="AL268" s="285"/>
      <c r="AM268" s="285"/>
      <c r="AN268" s="285"/>
      <c r="AO268" s="285"/>
      <c r="AP268" s="286"/>
    </row>
    <row r="269" spans="1:42" ht="39.950000000000003" customHeight="1">
      <c r="A269" s="221" t="s">
        <v>96</v>
      </c>
      <c r="B269" s="221"/>
      <c r="C269" s="221"/>
      <c r="D269" s="221"/>
      <c r="E269" s="221"/>
      <c r="F269" s="221"/>
      <c r="G269" s="256"/>
      <c r="H269" s="257"/>
      <c r="I269" s="257"/>
      <c r="J269" s="258"/>
      <c r="K269" s="284">
        <f t="shared" si="3"/>
        <v>0</v>
      </c>
      <c r="L269" s="285"/>
      <c r="M269" s="285"/>
      <c r="N269" s="285"/>
      <c r="O269" s="285"/>
      <c r="P269" s="285"/>
      <c r="Q269" s="285"/>
      <c r="R269" s="286"/>
      <c r="S269" s="256"/>
      <c r="T269" s="257"/>
      <c r="U269" s="257"/>
      <c r="V269" s="258"/>
      <c r="W269" s="284">
        <f t="shared" si="4"/>
        <v>0</v>
      </c>
      <c r="X269" s="285"/>
      <c r="Y269" s="285"/>
      <c r="Z269" s="285"/>
      <c r="AA269" s="285"/>
      <c r="AB269" s="285"/>
      <c r="AC269" s="285"/>
      <c r="AD269" s="286"/>
      <c r="AE269" s="256"/>
      <c r="AF269" s="257"/>
      <c r="AG269" s="257"/>
      <c r="AH269" s="258"/>
      <c r="AI269" s="284">
        <f t="shared" si="5"/>
        <v>0</v>
      </c>
      <c r="AJ269" s="285"/>
      <c r="AK269" s="285"/>
      <c r="AL269" s="285"/>
      <c r="AM269" s="285"/>
      <c r="AN269" s="285"/>
      <c r="AO269" s="285"/>
      <c r="AP269" s="286"/>
    </row>
    <row r="270" spans="1:42" ht="39.950000000000003" customHeight="1">
      <c r="A270" s="221" t="s">
        <v>97</v>
      </c>
      <c r="B270" s="221"/>
      <c r="C270" s="221"/>
      <c r="D270" s="221"/>
      <c r="E270" s="221"/>
      <c r="F270" s="221"/>
      <c r="G270" s="256"/>
      <c r="H270" s="257"/>
      <c r="I270" s="257"/>
      <c r="J270" s="258"/>
      <c r="K270" s="284">
        <f t="shared" si="3"/>
        <v>0</v>
      </c>
      <c r="L270" s="285"/>
      <c r="M270" s="285"/>
      <c r="N270" s="285"/>
      <c r="O270" s="285"/>
      <c r="P270" s="285"/>
      <c r="Q270" s="285"/>
      <c r="R270" s="286"/>
      <c r="S270" s="256"/>
      <c r="T270" s="257"/>
      <c r="U270" s="257"/>
      <c r="V270" s="258"/>
      <c r="W270" s="284">
        <f t="shared" si="4"/>
        <v>0</v>
      </c>
      <c r="X270" s="285"/>
      <c r="Y270" s="285"/>
      <c r="Z270" s="285"/>
      <c r="AA270" s="285"/>
      <c r="AB270" s="285"/>
      <c r="AC270" s="285"/>
      <c r="AD270" s="286"/>
      <c r="AE270" s="256"/>
      <c r="AF270" s="257"/>
      <c r="AG270" s="257"/>
      <c r="AH270" s="258"/>
      <c r="AI270" s="284">
        <f t="shared" si="5"/>
        <v>0</v>
      </c>
      <c r="AJ270" s="285"/>
      <c r="AK270" s="285"/>
      <c r="AL270" s="285"/>
      <c r="AM270" s="285"/>
      <c r="AN270" s="285"/>
      <c r="AO270" s="285"/>
      <c r="AP270" s="286"/>
    </row>
    <row r="271" spans="1:42" ht="39.950000000000003" customHeight="1">
      <c r="A271" s="292" t="s">
        <v>78</v>
      </c>
      <c r="B271" s="292"/>
      <c r="C271" s="292"/>
      <c r="D271" s="292"/>
      <c r="E271" s="292"/>
      <c r="F271" s="292"/>
      <c r="G271" s="288">
        <f>SUM(G259:J270)</f>
        <v>0</v>
      </c>
      <c r="H271" s="289"/>
      <c r="I271" s="289"/>
      <c r="J271" s="290"/>
      <c r="K271" s="291">
        <f>SUM(K259:R270)</f>
        <v>0</v>
      </c>
      <c r="L271" s="289"/>
      <c r="M271" s="289"/>
      <c r="N271" s="289"/>
      <c r="O271" s="289"/>
      <c r="P271" s="289"/>
      <c r="Q271" s="289"/>
      <c r="R271" s="290"/>
      <c r="S271" s="288">
        <f>SUM(S259:V270)</f>
        <v>0</v>
      </c>
      <c r="T271" s="289"/>
      <c r="U271" s="289"/>
      <c r="V271" s="290"/>
      <c r="W271" s="291">
        <f>SUM(W259:AD270)</f>
        <v>0</v>
      </c>
      <c r="X271" s="289"/>
      <c r="Y271" s="289"/>
      <c r="Z271" s="289"/>
      <c r="AA271" s="289"/>
      <c r="AB271" s="289"/>
      <c r="AC271" s="289"/>
      <c r="AD271" s="290"/>
      <c r="AE271" s="288">
        <f>SUM(AE259:AH270)</f>
        <v>0</v>
      </c>
      <c r="AF271" s="289"/>
      <c r="AG271" s="289"/>
      <c r="AH271" s="290"/>
      <c r="AI271" s="291">
        <f>SUM(AI259:AP270)</f>
        <v>0</v>
      </c>
      <c r="AJ271" s="289"/>
      <c r="AK271" s="289"/>
      <c r="AL271" s="289"/>
      <c r="AM271" s="289"/>
      <c r="AN271" s="289"/>
      <c r="AO271" s="289"/>
      <c r="AP271" s="290"/>
    </row>
    <row r="273" spans="1:42" ht="27" customHeight="1">
      <c r="A273" s="221" t="s">
        <v>121</v>
      </c>
      <c r="B273" s="221"/>
      <c r="C273" s="221"/>
      <c r="D273" s="221"/>
      <c r="E273" s="221"/>
      <c r="F273" s="221"/>
      <c r="G273" s="221"/>
      <c r="H273" s="221"/>
      <c r="I273" s="221"/>
      <c r="J273" s="221"/>
      <c r="K273" s="221"/>
      <c r="L273" s="221"/>
      <c r="M273" s="175">
        <f>+A231</f>
        <v>0</v>
      </c>
      <c r="N273" s="175"/>
      <c r="O273" s="175"/>
      <c r="P273" s="175"/>
      <c r="Q273" s="175"/>
      <c r="R273" s="175"/>
      <c r="S273" s="175"/>
      <c r="T273" s="175"/>
      <c r="U273" s="175"/>
      <c r="V273" s="175"/>
      <c r="W273" s="175"/>
      <c r="X273" s="175"/>
      <c r="Y273" s="175"/>
      <c r="Z273" s="175"/>
      <c r="AA273" s="175"/>
      <c r="AB273" s="175"/>
      <c r="AC273" s="175"/>
      <c r="AD273" s="175"/>
      <c r="AE273" s="175"/>
      <c r="AF273" s="175"/>
      <c r="AG273" s="175"/>
      <c r="AH273" s="175"/>
      <c r="AI273" s="175"/>
      <c r="AJ273" s="175"/>
      <c r="AK273" s="175"/>
      <c r="AL273" s="175"/>
      <c r="AM273" s="175"/>
      <c r="AN273" s="175"/>
      <c r="AO273" s="175"/>
      <c r="AP273" s="175"/>
    </row>
    <row r="275" spans="1:42" ht="27" customHeight="1">
      <c r="G275" s="221" t="s">
        <v>100</v>
      </c>
      <c r="H275" s="221"/>
      <c r="I275" s="221"/>
      <c r="J275" s="221"/>
      <c r="K275" s="221"/>
      <c r="L275" s="221"/>
      <c r="M275" s="221"/>
      <c r="N275" s="221"/>
      <c r="O275" s="221"/>
      <c r="P275" s="221"/>
      <c r="Q275" s="221"/>
      <c r="R275" s="221"/>
      <c r="S275" s="221" t="s">
        <v>101</v>
      </c>
      <c r="T275" s="221"/>
      <c r="U275" s="221"/>
      <c r="V275" s="221"/>
      <c r="W275" s="221"/>
      <c r="X275" s="221"/>
      <c r="Y275" s="221"/>
      <c r="Z275" s="221"/>
      <c r="AA275" s="221"/>
      <c r="AB275" s="221"/>
      <c r="AC275" s="221"/>
      <c r="AD275" s="221"/>
      <c r="AE275" s="221" t="s">
        <v>102</v>
      </c>
      <c r="AF275" s="221"/>
      <c r="AG275" s="221"/>
      <c r="AH275" s="221"/>
      <c r="AI275" s="221"/>
      <c r="AJ275" s="221"/>
      <c r="AK275" s="221"/>
      <c r="AL275" s="221"/>
      <c r="AM275" s="221"/>
      <c r="AN275" s="221"/>
      <c r="AO275" s="221"/>
      <c r="AP275" s="221"/>
    </row>
    <row r="276" spans="1:42" ht="29.25" customHeight="1">
      <c r="G276" s="312" t="s">
        <v>98</v>
      </c>
      <c r="H276" s="313"/>
      <c r="I276" s="313"/>
      <c r="J276" s="314"/>
      <c r="K276" s="312" t="s">
        <v>99</v>
      </c>
      <c r="L276" s="313"/>
      <c r="M276" s="313"/>
      <c r="N276" s="313"/>
      <c r="O276" s="313"/>
      <c r="P276" s="313"/>
      <c r="Q276" s="313"/>
      <c r="R276" s="314"/>
      <c r="S276" s="312" t="s">
        <v>98</v>
      </c>
      <c r="T276" s="313"/>
      <c r="U276" s="313"/>
      <c r="V276" s="314"/>
      <c r="W276" s="312" t="s">
        <v>99</v>
      </c>
      <c r="X276" s="313"/>
      <c r="Y276" s="313"/>
      <c r="Z276" s="313"/>
      <c r="AA276" s="313"/>
      <c r="AB276" s="313"/>
      <c r="AC276" s="313"/>
      <c r="AD276" s="314"/>
      <c r="AE276" s="312" t="s">
        <v>98</v>
      </c>
      <c r="AF276" s="313"/>
      <c r="AG276" s="313"/>
      <c r="AH276" s="314"/>
      <c r="AI276" s="312" t="s">
        <v>99</v>
      </c>
      <c r="AJ276" s="313"/>
      <c r="AK276" s="313"/>
      <c r="AL276" s="313"/>
      <c r="AM276" s="313"/>
      <c r="AN276" s="313"/>
      <c r="AO276" s="313"/>
      <c r="AP276" s="314"/>
    </row>
    <row r="277" spans="1:42" ht="39.950000000000003" customHeight="1">
      <c r="A277" s="221" t="s">
        <v>86</v>
      </c>
      <c r="B277" s="221"/>
      <c r="C277" s="221"/>
      <c r="D277" s="221"/>
      <c r="E277" s="221"/>
      <c r="F277" s="221"/>
      <c r="G277" s="256"/>
      <c r="H277" s="257"/>
      <c r="I277" s="257"/>
      <c r="J277" s="258"/>
      <c r="K277" s="284">
        <f>+G277*$Q$231</f>
        <v>0</v>
      </c>
      <c r="L277" s="285"/>
      <c r="M277" s="285"/>
      <c r="N277" s="285"/>
      <c r="O277" s="285"/>
      <c r="P277" s="285"/>
      <c r="Q277" s="285"/>
      <c r="R277" s="286"/>
      <c r="S277" s="256"/>
      <c r="T277" s="257"/>
      <c r="U277" s="257"/>
      <c r="V277" s="258"/>
      <c r="W277" s="284">
        <f>+S277*$W$231</f>
        <v>0</v>
      </c>
      <c r="X277" s="285"/>
      <c r="Y277" s="285"/>
      <c r="Z277" s="285"/>
      <c r="AA277" s="285"/>
      <c r="AB277" s="285"/>
      <c r="AC277" s="285"/>
      <c r="AD277" s="286"/>
      <c r="AE277" s="256"/>
      <c r="AF277" s="257"/>
      <c r="AG277" s="257"/>
      <c r="AH277" s="258"/>
      <c r="AI277" s="284">
        <f>+AE277*$AC$231</f>
        <v>0</v>
      </c>
      <c r="AJ277" s="285"/>
      <c r="AK277" s="285"/>
      <c r="AL277" s="285"/>
      <c r="AM277" s="285"/>
      <c r="AN277" s="285"/>
      <c r="AO277" s="285"/>
      <c r="AP277" s="286"/>
    </row>
    <row r="278" spans="1:42" ht="39.950000000000003" customHeight="1">
      <c r="A278" s="221" t="s">
        <v>87</v>
      </c>
      <c r="B278" s="221"/>
      <c r="C278" s="221"/>
      <c r="D278" s="221"/>
      <c r="E278" s="221"/>
      <c r="F278" s="221"/>
      <c r="G278" s="256"/>
      <c r="H278" s="257"/>
      <c r="I278" s="257"/>
      <c r="J278" s="258"/>
      <c r="K278" s="284">
        <f t="shared" ref="K278:K287" si="6">+G278*$Q$231</f>
        <v>0</v>
      </c>
      <c r="L278" s="285"/>
      <c r="M278" s="285"/>
      <c r="N278" s="285"/>
      <c r="O278" s="285"/>
      <c r="P278" s="285"/>
      <c r="Q278" s="285"/>
      <c r="R278" s="286"/>
      <c r="S278" s="256"/>
      <c r="T278" s="257"/>
      <c r="U278" s="257"/>
      <c r="V278" s="258"/>
      <c r="W278" s="284">
        <f t="shared" ref="W278:W288" si="7">+S278*$W$231</f>
        <v>0</v>
      </c>
      <c r="X278" s="285"/>
      <c r="Y278" s="285"/>
      <c r="Z278" s="285"/>
      <c r="AA278" s="285"/>
      <c r="AB278" s="285"/>
      <c r="AC278" s="285"/>
      <c r="AD278" s="286"/>
      <c r="AE278" s="256"/>
      <c r="AF278" s="257"/>
      <c r="AG278" s="257"/>
      <c r="AH278" s="258"/>
      <c r="AI278" s="284">
        <f t="shared" ref="AI278:AI288" si="8">+AE278*$AC$231</f>
        <v>0</v>
      </c>
      <c r="AJ278" s="285"/>
      <c r="AK278" s="285"/>
      <c r="AL278" s="285"/>
      <c r="AM278" s="285"/>
      <c r="AN278" s="285"/>
      <c r="AO278" s="285"/>
      <c r="AP278" s="286"/>
    </row>
    <row r="279" spans="1:42" ht="39.950000000000003" customHeight="1">
      <c r="A279" s="221" t="s">
        <v>88</v>
      </c>
      <c r="B279" s="221"/>
      <c r="C279" s="221"/>
      <c r="D279" s="221"/>
      <c r="E279" s="221"/>
      <c r="F279" s="221"/>
      <c r="G279" s="256"/>
      <c r="H279" s="257"/>
      <c r="I279" s="257"/>
      <c r="J279" s="258"/>
      <c r="K279" s="284">
        <f t="shared" si="6"/>
        <v>0</v>
      </c>
      <c r="L279" s="285"/>
      <c r="M279" s="285"/>
      <c r="N279" s="285"/>
      <c r="O279" s="285"/>
      <c r="P279" s="285"/>
      <c r="Q279" s="285"/>
      <c r="R279" s="286"/>
      <c r="S279" s="256"/>
      <c r="T279" s="257"/>
      <c r="U279" s="257"/>
      <c r="V279" s="258"/>
      <c r="W279" s="284">
        <f t="shared" si="7"/>
        <v>0</v>
      </c>
      <c r="X279" s="285"/>
      <c r="Y279" s="285"/>
      <c r="Z279" s="285"/>
      <c r="AA279" s="285"/>
      <c r="AB279" s="285"/>
      <c r="AC279" s="285"/>
      <c r="AD279" s="286"/>
      <c r="AE279" s="256"/>
      <c r="AF279" s="257"/>
      <c r="AG279" s="257"/>
      <c r="AH279" s="258"/>
      <c r="AI279" s="284">
        <f t="shared" si="8"/>
        <v>0</v>
      </c>
      <c r="AJ279" s="285"/>
      <c r="AK279" s="285"/>
      <c r="AL279" s="285"/>
      <c r="AM279" s="285"/>
      <c r="AN279" s="285"/>
      <c r="AO279" s="285"/>
      <c r="AP279" s="286"/>
    </row>
    <row r="280" spans="1:42" ht="39.950000000000003" customHeight="1">
      <c r="A280" s="221" t="s">
        <v>89</v>
      </c>
      <c r="B280" s="221"/>
      <c r="C280" s="221"/>
      <c r="D280" s="221"/>
      <c r="E280" s="221"/>
      <c r="F280" s="221"/>
      <c r="G280" s="256"/>
      <c r="H280" s="257"/>
      <c r="I280" s="257"/>
      <c r="J280" s="258"/>
      <c r="K280" s="284">
        <f t="shared" si="6"/>
        <v>0</v>
      </c>
      <c r="L280" s="285"/>
      <c r="M280" s="285"/>
      <c r="N280" s="285"/>
      <c r="O280" s="285"/>
      <c r="P280" s="285"/>
      <c r="Q280" s="285"/>
      <c r="R280" s="286"/>
      <c r="S280" s="256"/>
      <c r="T280" s="257"/>
      <c r="U280" s="257"/>
      <c r="V280" s="258"/>
      <c r="W280" s="284">
        <f t="shared" si="7"/>
        <v>0</v>
      </c>
      <c r="X280" s="285"/>
      <c r="Y280" s="285"/>
      <c r="Z280" s="285"/>
      <c r="AA280" s="285"/>
      <c r="AB280" s="285"/>
      <c r="AC280" s="285"/>
      <c r="AD280" s="286"/>
      <c r="AE280" s="256"/>
      <c r="AF280" s="257"/>
      <c r="AG280" s="257"/>
      <c r="AH280" s="258"/>
      <c r="AI280" s="284">
        <f t="shared" si="8"/>
        <v>0</v>
      </c>
      <c r="AJ280" s="285"/>
      <c r="AK280" s="285"/>
      <c r="AL280" s="285"/>
      <c r="AM280" s="285"/>
      <c r="AN280" s="285"/>
      <c r="AO280" s="285"/>
      <c r="AP280" s="286"/>
    </row>
    <row r="281" spans="1:42" ht="39.950000000000003" customHeight="1">
      <c r="A281" s="221" t="s">
        <v>90</v>
      </c>
      <c r="B281" s="221"/>
      <c r="C281" s="221"/>
      <c r="D281" s="221"/>
      <c r="E281" s="221"/>
      <c r="F281" s="221"/>
      <c r="G281" s="256"/>
      <c r="H281" s="257"/>
      <c r="I281" s="257"/>
      <c r="J281" s="258"/>
      <c r="K281" s="284">
        <f t="shared" si="6"/>
        <v>0</v>
      </c>
      <c r="L281" s="285"/>
      <c r="M281" s="285"/>
      <c r="N281" s="285"/>
      <c r="O281" s="285"/>
      <c r="P281" s="285"/>
      <c r="Q281" s="285"/>
      <c r="R281" s="286"/>
      <c r="S281" s="256"/>
      <c r="T281" s="257"/>
      <c r="U281" s="257"/>
      <c r="V281" s="258"/>
      <c r="W281" s="284">
        <f t="shared" si="7"/>
        <v>0</v>
      </c>
      <c r="X281" s="285"/>
      <c r="Y281" s="285"/>
      <c r="Z281" s="285"/>
      <c r="AA281" s="285"/>
      <c r="AB281" s="285"/>
      <c r="AC281" s="285"/>
      <c r="AD281" s="286"/>
      <c r="AE281" s="256"/>
      <c r="AF281" s="257"/>
      <c r="AG281" s="257"/>
      <c r="AH281" s="258"/>
      <c r="AI281" s="284">
        <f t="shared" si="8"/>
        <v>0</v>
      </c>
      <c r="AJ281" s="285"/>
      <c r="AK281" s="285"/>
      <c r="AL281" s="285"/>
      <c r="AM281" s="285"/>
      <c r="AN281" s="285"/>
      <c r="AO281" s="285"/>
      <c r="AP281" s="286"/>
    </row>
    <row r="282" spans="1:42" ht="39.950000000000003" customHeight="1">
      <c r="A282" s="221" t="s">
        <v>91</v>
      </c>
      <c r="B282" s="221"/>
      <c r="C282" s="221"/>
      <c r="D282" s="221"/>
      <c r="E282" s="221"/>
      <c r="F282" s="221"/>
      <c r="G282" s="256"/>
      <c r="H282" s="257"/>
      <c r="I282" s="257"/>
      <c r="J282" s="258"/>
      <c r="K282" s="284">
        <f t="shared" si="6"/>
        <v>0</v>
      </c>
      <c r="L282" s="285"/>
      <c r="M282" s="285"/>
      <c r="N282" s="285"/>
      <c r="O282" s="285"/>
      <c r="P282" s="285"/>
      <c r="Q282" s="285"/>
      <c r="R282" s="286"/>
      <c r="S282" s="256"/>
      <c r="T282" s="257"/>
      <c r="U282" s="257"/>
      <c r="V282" s="258"/>
      <c r="W282" s="284">
        <f t="shared" si="7"/>
        <v>0</v>
      </c>
      <c r="X282" s="285"/>
      <c r="Y282" s="285"/>
      <c r="Z282" s="285"/>
      <c r="AA282" s="285"/>
      <c r="AB282" s="285"/>
      <c r="AC282" s="285"/>
      <c r="AD282" s="286"/>
      <c r="AE282" s="256"/>
      <c r="AF282" s="257"/>
      <c r="AG282" s="257"/>
      <c r="AH282" s="258"/>
      <c r="AI282" s="284">
        <f t="shared" si="8"/>
        <v>0</v>
      </c>
      <c r="AJ282" s="285"/>
      <c r="AK282" s="285"/>
      <c r="AL282" s="285"/>
      <c r="AM282" s="285"/>
      <c r="AN282" s="285"/>
      <c r="AO282" s="285"/>
      <c r="AP282" s="286"/>
    </row>
    <row r="283" spans="1:42" ht="39.950000000000003" customHeight="1">
      <c r="A283" s="221" t="s">
        <v>92</v>
      </c>
      <c r="B283" s="221"/>
      <c r="C283" s="221"/>
      <c r="D283" s="221"/>
      <c r="E283" s="221"/>
      <c r="F283" s="221"/>
      <c r="G283" s="256"/>
      <c r="H283" s="257"/>
      <c r="I283" s="257"/>
      <c r="J283" s="258"/>
      <c r="K283" s="284">
        <f t="shared" si="6"/>
        <v>0</v>
      </c>
      <c r="L283" s="285"/>
      <c r="M283" s="285"/>
      <c r="N283" s="285"/>
      <c r="O283" s="285"/>
      <c r="P283" s="285"/>
      <c r="Q283" s="285"/>
      <c r="R283" s="286"/>
      <c r="S283" s="256"/>
      <c r="T283" s="257"/>
      <c r="U283" s="257"/>
      <c r="V283" s="258"/>
      <c r="W283" s="284">
        <f t="shared" si="7"/>
        <v>0</v>
      </c>
      <c r="X283" s="285"/>
      <c r="Y283" s="285"/>
      <c r="Z283" s="285"/>
      <c r="AA283" s="285"/>
      <c r="AB283" s="285"/>
      <c r="AC283" s="285"/>
      <c r="AD283" s="286"/>
      <c r="AE283" s="256"/>
      <c r="AF283" s="257"/>
      <c r="AG283" s="257"/>
      <c r="AH283" s="258"/>
      <c r="AI283" s="284">
        <f t="shared" si="8"/>
        <v>0</v>
      </c>
      <c r="AJ283" s="285"/>
      <c r="AK283" s="285"/>
      <c r="AL283" s="285"/>
      <c r="AM283" s="285"/>
      <c r="AN283" s="285"/>
      <c r="AO283" s="285"/>
      <c r="AP283" s="286"/>
    </row>
    <row r="284" spans="1:42" ht="39.950000000000003" customHeight="1">
      <c r="A284" s="221" t="s">
        <v>93</v>
      </c>
      <c r="B284" s="221"/>
      <c r="C284" s="221"/>
      <c r="D284" s="221"/>
      <c r="E284" s="221"/>
      <c r="F284" s="221"/>
      <c r="G284" s="256"/>
      <c r="H284" s="257"/>
      <c r="I284" s="257"/>
      <c r="J284" s="258"/>
      <c r="K284" s="284">
        <f t="shared" si="6"/>
        <v>0</v>
      </c>
      <c r="L284" s="285"/>
      <c r="M284" s="285"/>
      <c r="N284" s="285"/>
      <c r="O284" s="285"/>
      <c r="P284" s="285"/>
      <c r="Q284" s="285"/>
      <c r="R284" s="286"/>
      <c r="S284" s="256"/>
      <c r="T284" s="257"/>
      <c r="U284" s="257"/>
      <c r="V284" s="258"/>
      <c r="W284" s="284">
        <f t="shared" si="7"/>
        <v>0</v>
      </c>
      <c r="X284" s="285"/>
      <c r="Y284" s="285"/>
      <c r="Z284" s="285"/>
      <c r="AA284" s="285"/>
      <c r="AB284" s="285"/>
      <c r="AC284" s="285"/>
      <c r="AD284" s="286"/>
      <c r="AE284" s="256"/>
      <c r="AF284" s="257"/>
      <c r="AG284" s="257"/>
      <c r="AH284" s="258"/>
      <c r="AI284" s="284">
        <f t="shared" si="8"/>
        <v>0</v>
      </c>
      <c r="AJ284" s="285"/>
      <c r="AK284" s="285"/>
      <c r="AL284" s="285"/>
      <c r="AM284" s="285"/>
      <c r="AN284" s="285"/>
      <c r="AO284" s="285"/>
      <c r="AP284" s="286"/>
    </row>
    <row r="285" spans="1:42" ht="39.950000000000003" customHeight="1">
      <c r="A285" s="221" t="s">
        <v>94</v>
      </c>
      <c r="B285" s="221"/>
      <c r="C285" s="221"/>
      <c r="D285" s="221"/>
      <c r="E285" s="221"/>
      <c r="F285" s="221"/>
      <c r="G285" s="256"/>
      <c r="H285" s="257"/>
      <c r="I285" s="257"/>
      <c r="J285" s="258"/>
      <c r="K285" s="284">
        <f t="shared" si="6"/>
        <v>0</v>
      </c>
      <c r="L285" s="285"/>
      <c r="M285" s="285"/>
      <c r="N285" s="285"/>
      <c r="O285" s="285"/>
      <c r="P285" s="285"/>
      <c r="Q285" s="285"/>
      <c r="R285" s="286"/>
      <c r="S285" s="256"/>
      <c r="T285" s="257"/>
      <c r="U285" s="257"/>
      <c r="V285" s="258"/>
      <c r="W285" s="284">
        <f t="shared" si="7"/>
        <v>0</v>
      </c>
      <c r="X285" s="285"/>
      <c r="Y285" s="285"/>
      <c r="Z285" s="285"/>
      <c r="AA285" s="285"/>
      <c r="AB285" s="285"/>
      <c r="AC285" s="285"/>
      <c r="AD285" s="286"/>
      <c r="AE285" s="256"/>
      <c r="AF285" s="257"/>
      <c r="AG285" s="257"/>
      <c r="AH285" s="258"/>
      <c r="AI285" s="284">
        <f t="shared" si="8"/>
        <v>0</v>
      </c>
      <c r="AJ285" s="285"/>
      <c r="AK285" s="285"/>
      <c r="AL285" s="285"/>
      <c r="AM285" s="285"/>
      <c r="AN285" s="285"/>
      <c r="AO285" s="285"/>
      <c r="AP285" s="286"/>
    </row>
    <row r="286" spans="1:42" ht="39.950000000000003" customHeight="1">
      <c r="A286" s="221" t="s">
        <v>95</v>
      </c>
      <c r="B286" s="221"/>
      <c r="C286" s="221"/>
      <c r="D286" s="221"/>
      <c r="E286" s="221"/>
      <c r="F286" s="221"/>
      <c r="G286" s="256"/>
      <c r="H286" s="257"/>
      <c r="I286" s="257"/>
      <c r="J286" s="258"/>
      <c r="K286" s="284">
        <f t="shared" si="6"/>
        <v>0</v>
      </c>
      <c r="L286" s="285"/>
      <c r="M286" s="285"/>
      <c r="N286" s="285"/>
      <c r="O286" s="285"/>
      <c r="P286" s="285"/>
      <c r="Q286" s="285"/>
      <c r="R286" s="286"/>
      <c r="S286" s="256"/>
      <c r="T286" s="257"/>
      <c r="U286" s="257"/>
      <c r="V286" s="258"/>
      <c r="W286" s="284">
        <f t="shared" si="7"/>
        <v>0</v>
      </c>
      <c r="X286" s="285"/>
      <c r="Y286" s="285"/>
      <c r="Z286" s="285"/>
      <c r="AA286" s="285"/>
      <c r="AB286" s="285"/>
      <c r="AC286" s="285"/>
      <c r="AD286" s="286"/>
      <c r="AE286" s="256"/>
      <c r="AF286" s="257"/>
      <c r="AG286" s="257"/>
      <c r="AH286" s="258"/>
      <c r="AI286" s="284">
        <f t="shared" si="8"/>
        <v>0</v>
      </c>
      <c r="AJ286" s="285"/>
      <c r="AK286" s="285"/>
      <c r="AL286" s="285"/>
      <c r="AM286" s="285"/>
      <c r="AN286" s="285"/>
      <c r="AO286" s="285"/>
      <c r="AP286" s="286"/>
    </row>
    <row r="287" spans="1:42" ht="39.950000000000003" customHeight="1">
      <c r="A287" s="221" t="s">
        <v>96</v>
      </c>
      <c r="B287" s="221"/>
      <c r="C287" s="221"/>
      <c r="D287" s="221"/>
      <c r="E287" s="221"/>
      <c r="F287" s="221"/>
      <c r="G287" s="256"/>
      <c r="H287" s="257"/>
      <c r="I287" s="257"/>
      <c r="J287" s="258"/>
      <c r="K287" s="284">
        <f t="shared" si="6"/>
        <v>0</v>
      </c>
      <c r="L287" s="285"/>
      <c r="M287" s="285"/>
      <c r="N287" s="285"/>
      <c r="O287" s="285"/>
      <c r="P287" s="285"/>
      <c r="Q287" s="285"/>
      <c r="R287" s="286"/>
      <c r="S287" s="256"/>
      <c r="T287" s="257"/>
      <c r="U287" s="257"/>
      <c r="V287" s="258"/>
      <c r="W287" s="284">
        <f t="shared" si="7"/>
        <v>0</v>
      </c>
      <c r="X287" s="285"/>
      <c r="Y287" s="285"/>
      <c r="Z287" s="285"/>
      <c r="AA287" s="285"/>
      <c r="AB287" s="285"/>
      <c r="AC287" s="285"/>
      <c r="AD287" s="286"/>
      <c r="AE287" s="256"/>
      <c r="AF287" s="257"/>
      <c r="AG287" s="257"/>
      <c r="AH287" s="258"/>
      <c r="AI287" s="284">
        <f t="shared" si="8"/>
        <v>0</v>
      </c>
      <c r="AJ287" s="285"/>
      <c r="AK287" s="285"/>
      <c r="AL287" s="285"/>
      <c r="AM287" s="285"/>
      <c r="AN287" s="285"/>
      <c r="AO287" s="285"/>
      <c r="AP287" s="286"/>
    </row>
    <row r="288" spans="1:42" ht="39.950000000000003" customHeight="1">
      <c r="A288" s="221" t="s">
        <v>97</v>
      </c>
      <c r="B288" s="221"/>
      <c r="C288" s="221"/>
      <c r="D288" s="221"/>
      <c r="E288" s="221"/>
      <c r="F288" s="221"/>
      <c r="G288" s="256"/>
      <c r="H288" s="257"/>
      <c r="I288" s="257"/>
      <c r="J288" s="258"/>
      <c r="K288" s="284">
        <f>+G288*$Q$231</f>
        <v>0</v>
      </c>
      <c r="L288" s="285"/>
      <c r="M288" s="285"/>
      <c r="N288" s="285"/>
      <c r="O288" s="285"/>
      <c r="P288" s="285"/>
      <c r="Q288" s="285"/>
      <c r="R288" s="286"/>
      <c r="S288" s="256"/>
      <c r="T288" s="257"/>
      <c r="U288" s="257"/>
      <c r="V288" s="258"/>
      <c r="W288" s="284">
        <f t="shared" si="7"/>
        <v>0</v>
      </c>
      <c r="X288" s="285"/>
      <c r="Y288" s="285"/>
      <c r="Z288" s="285"/>
      <c r="AA288" s="285"/>
      <c r="AB288" s="285"/>
      <c r="AC288" s="285"/>
      <c r="AD288" s="286"/>
      <c r="AE288" s="256"/>
      <c r="AF288" s="257"/>
      <c r="AG288" s="257"/>
      <c r="AH288" s="258"/>
      <c r="AI288" s="284">
        <f t="shared" si="8"/>
        <v>0</v>
      </c>
      <c r="AJ288" s="285"/>
      <c r="AK288" s="285"/>
      <c r="AL288" s="285"/>
      <c r="AM288" s="285"/>
      <c r="AN288" s="285"/>
      <c r="AO288" s="285"/>
      <c r="AP288" s="286"/>
    </row>
    <row r="289" spans="1:42" ht="39.950000000000003" customHeight="1">
      <c r="A289" s="292" t="s">
        <v>78</v>
      </c>
      <c r="B289" s="292"/>
      <c r="C289" s="292"/>
      <c r="D289" s="292"/>
      <c r="E289" s="292"/>
      <c r="F289" s="292"/>
      <c r="G289" s="288">
        <f>SUM(G277:J288)</f>
        <v>0</v>
      </c>
      <c r="H289" s="289"/>
      <c r="I289" s="289"/>
      <c r="J289" s="290"/>
      <c r="K289" s="291">
        <f>SUM(K277:R288)</f>
        <v>0</v>
      </c>
      <c r="L289" s="289"/>
      <c r="M289" s="289"/>
      <c r="N289" s="289"/>
      <c r="O289" s="289"/>
      <c r="P289" s="289"/>
      <c r="Q289" s="289"/>
      <c r="R289" s="290"/>
      <c r="S289" s="288">
        <f>SUM(S277:V288)</f>
        <v>0</v>
      </c>
      <c r="T289" s="289"/>
      <c r="U289" s="289"/>
      <c r="V289" s="290"/>
      <c r="W289" s="291">
        <f>SUM(W277:AD288)</f>
        <v>0</v>
      </c>
      <c r="X289" s="289"/>
      <c r="Y289" s="289"/>
      <c r="Z289" s="289"/>
      <c r="AA289" s="289"/>
      <c r="AB289" s="289"/>
      <c r="AC289" s="289"/>
      <c r="AD289" s="290"/>
      <c r="AE289" s="288">
        <f>SUM(AE277:AH288)</f>
        <v>0</v>
      </c>
      <c r="AF289" s="289"/>
      <c r="AG289" s="289"/>
      <c r="AH289" s="290"/>
      <c r="AI289" s="291">
        <f>SUM(AI277:AP288)</f>
        <v>0</v>
      </c>
      <c r="AJ289" s="289"/>
      <c r="AK289" s="289"/>
      <c r="AL289" s="289"/>
      <c r="AM289" s="289"/>
      <c r="AN289" s="289"/>
      <c r="AO289" s="289"/>
      <c r="AP289" s="290"/>
    </row>
    <row r="290" spans="1:42" s="60" customFormat="1" ht="24" customHeight="1">
      <c r="A290" s="65"/>
      <c r="B290" s="65"/>
      <c r="C290" s="65"/>
      <c r="D290" s="65"/>
      <c r="E290" s="65"/>
      <c r="F290" s="65"/>
      <c r="G290" s="65"/>
      <c r="H290" s="65"/>
      <c r="I290" s="65"/>
      <c r="J290" s="65"/>
      <c r="K290" s="66"/>
      <c r="L290" s="65"/>
      <c r="M290" s="65"/>
      <c r="N290" s="65"/>
      <c r="O290" s="65"/>
      <c r="P290" s="65"/>
      <c r="Q290" s="65"/>
      <c r="R290" s="65"/>
      <c r="S290" s="65"/>
      <c r="T290" s="65"/>
      <c r="U290" s="65"/>
      <c r="V290" s="65"/>
      <c r="W290" s="66"/>
      <c r="X290" s="65"/>
      <c r="Y290" s="65"/>
      <c r="Z290" s="65"/>
      <c r="AA290" s="65"/>
      <c r="AB290" s="65"/>
      <c r="AC290" s="65"/>
      <c r="AD290" s="65"/>
      <c r="AE290" s="65"/>
      <c r="AF290" s="65"/>
      <c r="AG290" s="65"/>
      <c r="AH290" s="65"/>
      <c r="AI290" s="66"/>
      <c r="AJ290" s="65"/>
      <c r="AK290" s="65"/>
      <c r="AL290" s="65"/>
      <c r="AM290" s="65"/>
      <c r="AN290" s="65"/>
      <c r="AO290" s="65"/>
      <c r="AP290" s="65"/>
    </row>
    <row r="291" spans="1:42" ht="30" customHeight="1">
      <c r="A291" s="198" t="s">
        <v>105</v>
      </c>
      <c r="B291" s="198"/>
      <c r="C291" s="198"/>
      <c r="D291" s="198"/>
      <c r="E291" s="198"/>
      <c r="F291" s="198"/>
      <c r="G291" s="198"/>
      <c r="H291" s="198"/>
      <c r="I291" s="198"/>
      <c r="J291" s="198"/>
      <c r="K291" s="198"/>
      <c r="L291" s="198"/>
      <c r="M291" s="198"/>
      <c r="N291" s="198"/>
      <c r="O291" s="198"/>
      <c r="P291" s="198"/>
      <c r="Q291" s="198"/>
      <c r="R291" s="198"/>
      <c r="S291" s="198"/>
      <c r="T291" s="198"/>
      <c r="U291" s="198"/>
      <c r="V291" s="198"/>
      <c r="W291" s="198"/>
      <c r="X291" s="198"/>
      <c r="Y291" s="198"/>
      <c r="Z291" s="198"/>
      <c r="AA291" s="198"/>
      <c r="AB291" s="198"/>
      <c r="AC291" s="198"/>
      <c r="AD291" s="198"/>
      <c r="AE291" s="198"/>
      <c r="AF291" s="198"/>
      <c r="AG291" s="198"/>
      <c r="AH291" s="198"/>
      <c r="AI291" s="198"/>
      <c r="AJ291" s="198"/>
      <c r="AK291" s="198"/>
      <c r="AL291" s="198"/>
      <c r="AM291" s="198"/>
      <c r="AN291" s="198"/>
    </row>
    <row r="292" spans="1:42">
      <c r="A292" s="378" t="s">
        <v>1431</v>
      </c>
      <c r="B292" s="378"/>
      <c r="C292" s="378"/>
      <c r="D292" s="378"/>
      <c r="E292" s="378"/>
      <c r="F292" s="378"/>
      <c r="G292" s="378"/>
      <c r="H292" s="378"/>
      <c r="I292" s="378"/>
      <c r="J292" s="378"/>
      <c r="K292" s="378"/>
      <c r="L292" s="378"/>
      <c r="M292" s="378"/>
      <c r="N292" s="378"/>
      <c r="O292" s="378"/>
      <c r="P292" s="378"/>
      <c r="Q292" s="378"/>
      <c r="R292" s="378"/>
      <c r="S292" s="378"/>
      <c r="T292" s="378"/>
      <c r="U292" s="378"/>
      <c r="V292" s="378"/>
      <c r="W292" s="378"/>
      <c r="X292" s="378"/>
      <c r="Y292" s="378"/>
      <c r="Z292" s="378"/>
      <c r="AA292" s="378"/>
      <c r="AB292" s="378"/>
      <c r="AC292" s="378"/>
      <c r="AD292" s="378"/>
      <c r="AE292" s="378"/>
      <c r="AF292" s="378"/>
      <c r="AG292" s="378"/>
      <c r="AH292" s="378"/>
      <c r="AI292" s="378"/>
      <c r="AJ292" s="378"/>
      <c r="AK292" s="378"/>
      <c r="AL292" s="378"/>
      <c r="AM292" s="378"/>
      <c r="AN292" s="378"/>
    </row>
    <row r="293" spans="1:42" ht="78" customHeight="1">
      <c r="A293" s="378"/>
      <c r="B293" s="378"/>
      <c r="C293" s="378"/>
      <c r="D293" s="378"/>
      <c r="E293" s="378"/>
      <c r="F293" s="378"/>
      <c r="G293" s="378"/>
      <c r="H293" s="378"/>
      <c r="I293" s="378"/>
      <c r="J293" s="378"/>
      <c r="K293" s="378"/>
      <c r="L293" s="378"/>
      <c r="M293" s="378"/>
      <c r="N293" s="378"/>
      <c r="O293" s="378"/>
      <c r="P293" s="378"/>
      <c r="Q293" s="378"/>
      <c r="R293" s="378"/>
      <c r="S293" s="378"/>
      <c r="T293" s="378"/>
      <c r="U293" s="378"/>
      <c r="V293" s="378"/>
      <c r="W293" s="378"/>
      <c r="X293" s="378"/>
      <c r="Y293" s="378"/>
      <c r="Z293" s="378"/>
      <c r="AA293" s="378"/>
      <c r="AB293" s="378"/>
      <c r="AC293" s="378"/>
      <c r="AD293" s="378"/>
      <c r="AE293" s="378"/>
      <c r="AF293" s="378"/>
      <c r="AG293" s="378"/>
      <c r="AH293" s="378"/>
      <c r="AI293" s="378"/>
      <c r="AJ293" s="378"/>
      <c r="AK293" s="378"/>
      <c r="AL293" s="378"/>
      <c r="AM293" s="378"/>
      <c r="AN293" s="378"/>
    </row>
    <row r="295" spans="1:42" ht="26.25" customHeight="1">
      <c r="A295" s="310" t="s">
        <v>106</v>
      </c>
      <c r="B295" s="311"/>
      <c r="C295" s="311"/>
      <c r="D295" s="311"/>
      <c r="E295" s="311"/>
      <c r="F295" s="311"/>
      <c r="G295" s="311"/>
      <c r="H295" s="311"/>
      <c r="I295" s="311"/>
      <c r="J295" s="311"/>
      <c r="K295" s="311"/>
      <c r="L295" s="311"/>
      <c r="M295" s="311"/>
      <c r="N295" s="311"/>
      <c r="O295" s="311"/>
      <c r="P295" s="311"/>
      <c r="Q295" s="311"/>
      <c r="R295" s="311"/>
      <c r="S295" s="311"/>
      <c r="T295" s="311"/>
      <c r="U295" s="311"/>
      <c r="V295" s="311"/>
      <c r="W295" s="311"/>
      <c r="X295" s="311"/>
      <c r="Y295" s="311"/>
      <c r="Z295" s="311"/>
      <c r="AA295" s="311"/>
      <c r="AB295" s="311"/>
      <c r="AC295" s="311"/>
      <c r="AD295" s="311"/>
      <c r="AE295" s="311"/>
      <c r="AF295" s="311"/>
      <c r="AG295" s="311"/>
      <c r="AH295" s="311"/>
      <c r="AI295" s="311"/>
      <c r="AJ295" s="311"/>
      <c r="AK295" s="311"/>
      <c r="AL295" s="311"/>
      <c r="AM295" s="311"/>
      <c r="AN295" s="317"/>
    </row>
    <row r="296" spans="1:42" ht="41.45" customHeight="1">
      <c r="A296" s="298" t="s">
        <v>54</v>
      </c>
      <c r="B296" s="299"/>
      <c r="C296" s="299"/>
      <c r="D296" s="299"/>
      <c r="E296" s="299"/>
      <c r="F296" s="299"/>
      <c r="G296" s="299"/>
      <c r="H296" s="299"/>
      <c r="I296" s="299"/>
      <c r="J296" s="299"/>
      <c r="K296" s="299"/>
      <c r="L296" s="299"/>
      <c r="M296" s="299"/>
      <c r="N296" s="299"/>
      <c r="O296" s="299"/>
      <c r="P296" s="299"/>
      <c r="Q296" s="299"/>
      <c r="R296" s="299"/>
      <c r="S296" s="300"/>
      <c r="T296" s="188" t="s">
        <v>1464</v>
      </c>
      <c r="U296" s="188"/>
      <c r="V296" s="188"/>
      <c r="W296" s="188"/>
      <c r="X296" s="188"/>
      <c r="Y296" s="188"/>
      <c r="Z296" s="188"/>
      <c r="AA296" s="318" t="s">
        <v>1450</v>
      </c>
      <c r="AB296" s="318"/>
      <c r="AC296" s="318"/>
      <c r="AD296" s="318"/>
      <c r="AE296" s="188" t="s">
        <v>1467</v>
      </c>
      <c r="AF296" s="188"/>
      <c r="AG296" s="188"/>
      <c r="AH296" s="188"/>
      <c r="AI296" s="188"/>
      <c r="AJ296" s="188"/>
      <c r="AK296" s="188"/>
      <c r="AL296" s="188"/>
      <c r="AM296" s="188"/>
      <c r="AN296" s="188"/>
    </row>
    <row r="297" spans="1:42" ht="39.950000000000003" customHeight="1">
      <c r="A297" s="149"/>
      <c r="B297" s="150"/>
      <c r="C297" s="150"/>
      <c r="D297" s="150"/>
      <c r="E297" s="150"/>
      <c r="F297" s="150"/>
      <c r="G297" s="150"/>
      <c r="H297" s="150"/>
      <c r="I297" s="150"/>
      <c r="J297" s="150"/>
      <c r="K297" s="150"/>
      <c r="L297" s="150"/>
      <c r="M297" s="150"/>
      <c r="N297" s="150"/>
      <c r="O297" s="150"/>
      <c r="P297" s="150"/>
      <c r="Q297" s="150"/>
      <c r="R297" s="150"/>
      <c r="S297" s="151"/>
      <c r="T297" s="137"/>
      <c r="U297" s="137"/>
      <c r="V297" s="137"/>
      <c r="W297" s="137"/>
      <c r="X297" s="137"/>
      <c r="Y297" s="137"/>
      <c r="Z297" s="137"/>
      <c r="AA297" s="138"/>
      <c r="AB297" s="138"/>
      <c r="AC297" s="138"/>
      <c r="AD297" s="138"/>
      <c r="AE297" s="185">
        <f>+T297*AA297</f>
        <v>0</v>
      </c>
      <c r="AF297" s="185"/>
      <c r="AG297" s="185"/>
      <c r="AH297" s="185"/>
      <c r="AI297" s="185"/>
      <c r="AJ297" s="185"/>
      <c r="AK297" s="185"/>
      <c r="AL297" s="185"/>
      <c r="AM297" s="185"/>
      <c r="AN297" s="185"/>
    </row>
    <row r="298" spans="1:42" ht="39.950000000000003" customHeight="1">
      <c r="A298" s="149"/>
      <c r="B298" s="150"/>
      <c r="C298" s="150"/>
      <c r="D298" s="150"/>
      <c r="E298" s="150"/>
      <c r="F298" s="150"/>
      <c r="G298" s="150"/>
      <c r="H298" s="150"/>
      <c r="I298" s="150"/>
      <c r="J298" s="150"/>
      <c r="K298" s="150"/>
      <c r="L298" s="150"/>
      <c r="M298" s="150"/>
      <c r="N298" s="150"/>
      <c r="O298" s="150"/>
      <c r="P298" s="150"/>
      <c r="Q298" s="150"/>
      <c r="R298" s="150"/>
      <c r="S298" s="151"/>
      <c r="T298" s="137"/>
      <c r="U298" s="137"/>
      <c r="V298" s="137"/>
      <c r="W298" s="137"/>
      <c r="X298" s="137"/>
      <c r="Y298" s="137"/>
      <c r="Z298" s="137"/>
      <c r="AA298" s="138"/>
      <c r="AB298" s="138"/>
      <c r="AC298" s="138"/>
      <c r="AD298" s="138"/>
      <c r="AE298" s="185">
        <f t="shared" ref="AE298:AE304" si="9">+T298*AA298</f>
        <v>0</v>
      </c>
      <c r="AF298" s="185"/>
      <c r="AG298" s="185"/>
      <c r="AH298" s="185"/>
      <c r="AI298" s="185"/>
      <c r="AJ298" s="185"/>
      <c r="AK298" s="185"/>
      <c r="AL298" s="185"/>
      <c r="AM298" s="185"/>
      <c r="AN298" s="185"/>
    </row>
    <row r="299" spans="1:42" ht="39.950000000000003" customHeight="1">
      <c r="A299" s="149"/>
      <c r="B299" s="150"/>
      <c r="C299" s="150"/>
      <c r="D299" s="150"/>
      <c r="E299" s="150"/>
      <c r="F299" s="150"/>
      <c r="G299" s="150"/>
      <c r="H299" s="150"/>
      <c r="I299" s="150"/>
      <c r="J299" s="150"/>
      <c r="K299" s="150"/>
      <c r="L299" s="150"/>
      <c r="M299" s="150"/>
      <c r="N299" s="150"/>
      <c r="O299" s="150"/>
      <c r="P299" s="150"/>
      <c r="Q299" s="150"/>
      <c r="R299" s="150"/>
      <c r="S299" s="151"/>
      <c r="T299" s="137"/>
      <c r="U299" s="137"/>
      <c r="V299" s="137"/>
      <c r="W299" s="137"/>
      <c r="X299" s="137"/>
      <c r="Y299" s="137"/>
      <c r="Z299" s="137"/>
      <c r="AA299" s="138"/>
      <c r="AB299" s="138"/>
      <c r="AC299" s="138"/>
      <c r="AD299" s="138"/>
      <c r="AE299" s="185">
        <f t="shared" si="9"/>
        <v>0</v>
      </c>
      <c r="AF299" s="185"/>
      <c r="AG299" s="185"/>
      <c r="AH299" s="185"/>
      <c r="AI299" s="185"/>
      <c r="AJ299" s="185"/>
      <c r="AK299" s="185"/>
      <c r="AL299" s="185"/>
      <c r="AM299" s="185"/>
      <c r="AN299" s="185"/>
    </row>
    <row r="300" spans="1:42" ht="39.950000000000003" customHeight="1">
      <c r="A300" s="149"/>
      <c r="B300" s="150"/>
      <c r="C300" s="150"/>
      <c r="D300" s="150"/>
      <c r="E300" s="150"/>
      <c r="F300" s="150"/>
      <c r="G300" s="150"/>
      <c r="H300" s="150"/>
      <c r="I300" s="150"/>
      <c r="J300" s="150"/>
      <c r="K300" s="150"/>
      <c r="L300" s="150"/>
      <c r="M300" s="150"/>
      <c r="N300" s="150"/>
      <c r="O300" s="150"/>
      <c r="P300" s="150"/>
      <c r="Q300" s="150"/>
      <c r="R300" s="150"/>
      <c r="S300" s="151"/>
      <c r="T300" s="137"/>
      <c r="U300" s="137"/>
      <c r="V300" s="137"/>
      <c r="W300" s="137"/>
      <c r="X300" s="137"/>
      <c r="Y300" s="137"/>
      <c r="Z300" s="137"/>
      <c r="AA300" s="138"/>
      <c r="AB300" s="138"/>
      <c r="AC300" s="138"/>
      <c r="AD300" s="138"/>
      <c r="AE300" s="185">
        <f t="shared" si="9"/>
        <v>0</v>
      </c>
      <c r="AF300" s="185"/>
      <c r="AG300" s="185"/>
      <c r="AH300" s="185"/>
      <c r="AI300" s="185"/>
      <c r="AJ300" s="185"/>
      <c r="AK300" s="185"/>
      <c r="AL300" s="185"/>
      <c r="AM300" s="185"/>
      <c r="AN300" s="185"/>
    </row>
    <row r="301" spans="1:42" ht="39.950000000000003" customHeight="1">
      <c r="A301" s="149"/>
      <c r="B301" s="150"/>
      <c r="C301" s="150"/>
      <c r="D301" s="150"/>
      <c r="E301" s="150"/>
      <c r="F301" s="150"/>
      <c r="G301" s="150"/>
      <c r="H301" s="150"/>
      <c r="I301" s="150"/>
      <c r="J301" s="150"/>
      <c r="K301" s="150"/>
      <c r="L301" s="150"/>
      <c r="M301" s="150"/>
      <c r="N301" s="150"/>
      <c r="O301" s="150"/>
      <c r="P301" s="150"/>
      <c r="Q301" s="150"/>
      <c r="R301" s="150"/>
      <c r="S301" s="151"/>
      <c r="T301" s="137"/>
      <c r="U301" s="137"/>
      <c r="V301" s="137"/>
      <c r="W301" s="137"/>
      <c r="X301" s="137"/>
      <c r="Y301" s="137"/>
      <c r="Z301" s="137"/>
      <c r="AA301" s="138"/>
      <c r="AB301" s="138"/>
      <c r="AC301" s="138"/>
      <c r="AD301" s="138"/>
      <c r="AE301" s="185">
        <f t="shared" si="9"/>
        <v>0</v>
      </c>
      <c r="AF301" s="185"/>
      <c r="AG301" s="185"/>
      <c r="AH301" s="185"/>
      <c r="AI301" s="185"/>
      <c r="AJ301" s="185"/>
      <c r="AK301" s="185"/>
      <c r="AL301" s="185"/>
      <c r="AM301" s="185"/>
      <c r="AN301" s="185"/>
    </row>
    <row r="302" spans="1:42" ht="39.950000000000003" customHeight="1">
      <c r="A302" s="149"/>
      <c r="B302" s="150"/>
      <c r="C302" s="150"/>
      <c r="D302" s="150"/>
      <c r="E302" s="150"/>
      <c r="F302" s="150"/>
      <c r="G302" s="150"/>
      <c r="H302" s="150"/>
      <c r="I302" s="150"/>
      <c r="J302" s="150"/>
      <c r="K302" s="150"/>
      <c r="L302" s="150"/>
      <c r="M302" s="150"/>
      <c r="N302" s="150"/>
      <c r="O302" s="150"/>
      <c r="P302" s="150"/>
      <c r="Q302" s="150"/>
      <c r="R302" s="150"/>
      <c r="S302" s="151"/>
      <c r="T302" s="137"/>
      <c r="U302" s="137"/>
      <c r="V302" s="137"/>
      <c r="W302" s="137"/>
      <c r="X302" s="137"/>
      <c r="Y302" s="137"/>
      <c r="Z302" s="137"/>
      <c r="AA302" s="138"/>
      <c r="AB302" s="138"/>
      <c r="AC302" s="138"/>
      <c r="AD302" s="138"/>
      <c r="AE302" s="185">
        <f t="shared" si="9"/>
        <v>0</v>
      </c>
      <c r="AF302" s="185"/>
      <c r="AG302" s="185"/>
      <c r="AH302" s="185"/>
      <c r="AI302" s="185"/>
      <c r="AJ302" s="185"/>
      <c r="AK302" s="185"/>
      <c r="AL302" s="185"/>
      <c r="AM302" s="185"/>
      <c r="AN302" s="185"/>
    </row>
    <row r="303" spans="1:42" ht="39.950000000000003" customHeight="1">
      <c r="A303" s="149"/>
      <c r="B303" s="150"/>
      <c r="C303" s="150"/>
      <c r="D303" s="150"/>
      <c r="E303" s="150"/>
      <c r="F303" s="150"/>
      <c r="G303" s="150"/>
      <c r="H303" s="150"/>
      <c r="I303" s="150"/>
      <c r="J303" s="150"/>
      <c r="K303" s="150"/>
      <c r="L303" s="150"/>
      <c r="M303" s="150"/>
      <c r="N303" s="150"/>
      <c r="O303" s="150"/>
      <c r="P303" s="150"/>
      <c r="Q303" s="150"/>
      <c r="R303" s="150"/>
      <c r="S303" s="151"/>
      <c r="T303" s="137"/>
      <c r="U303" s="137"/>
      <c r="V303" s="137"/>
      <c r="W303" s="137"/>
      <c r="X303" s="137"/>
      <c r="Y303" s="137"/>
      <c r="Z303" s="137"/>
      <c r="AA303" s="138"/>
      <c r="AB303" s="138"/>
      <c r="AC303" s="138"/>
      <c r="AD303" s="138"/>
      <c r="AE303" s="185">
        <f t="shared" si="9"/>
        <v>0</v>
      </c>
      <c r="AF303" s="185"/>
      <c r="AG303" s="185"/>
      <c r="AH303" s="185"/>
      <c r="AI303" s="185"/>
      <c r="AJ303" s="185"/>
      <c r="AK303" s="185"/>
      <c r="AL303" s="185"/>
      <c r="AM303" s="185"/>
      <c r="AN303" s="185"/>
    </row>
    <row r="304" spans="1:42" ht="39.950000000000003" customHeight="1">
      <c r="A304" s="149"/>
      <c r="B304" s="150"/>
      <c r="C304" s="150"/>
      <c r="D304" s="150"/>
      <c r="E304" s="150"/>
      <c r="F304" s="150"/>
      <c r="G304" s="150"/>
      <c r="H304" s="150"/>
      <c r="I304" s="150"/>
      <c r="J304" s="150"/>
      <c r="K304" s="150"/>
      <c r="L304" s="150"/>
      <c r="M304" s="150"/>
      <c r="N304" s="150"/>
      <c r="O304" s="150"/>
      <c r="P304" s="150"/>
      <c r="Q304" s="150"/>
      <c r="R304" s="150"/>
      <c r="S304" s="151"/>
      <c r="T304" s="137"/>
      <c r="U304" s="137"/>
      <c r="V304" s="137"/>
      <c r="W304" s="137"/>
      <c r="X304" s="137"/>
      <c r="Y304" s="137"/>
      <c r="Z304" s="137"/>
      <c r="AA304" s="138"/>
      <c r="AB304" s="138"/>
      <c r="AC304" s="138"/>
      <c r="AD304" s="138"/>
      <c r="AE304" s="185">
        <f t="shared" si="9"/>
        <v>0</v>
      </c>
      <c r="AF304" s="185"/>
      <c r="AG304" s="185"/>
      <c r="AH304" s="185"/>
      <c r="AI304" s="185"/>
      <c r="AJ304" s="185"/>
      <c r="AK304" s="185"/>
      <c r="AL304" s="185"/>
      <c r="AM304" s="185"/>
      <c r="AN304" s="185"/>
    </row>
    <row r="305" spans="1:40" ht="45" customHeight="1">
      <c r="A305" s="298" t="s">
        <v>78</v>
      </c>
      <c r="B305" s="299"/>
      <c r="C305" s="299"/>
      <c r="D305" s="299"/>
      <c r="E305" s="299"/>
      <c r="F305" s="299"/>
      <c r="G305" s="299"/>
      <c r="H305" s="299"/>
      <c r="I305" s="299"/>
      <c r="J305" s="299"/>
      <c r="K305" s="299"/>
      <c r="L305" s="299"/>
      <c r="M305" s="299"/>
      <c r="N305" s="299"/>
      <c r="O305" s="299"/>
      <c r="P305" s="299"/>
      <c r="Q305" s="299"/>
      <c r="R305" s="299"/>
      <c r="S305" s="299"/>
      <c r="T305" s="315">
        <f>+SUM(T297+T298+T299+T300+T301+T302+T303+T304)</f>
        <v>0</v>
      </c>
      <c r="U305" s="188"/>
      <c r="V305" s="188"/>
      <c r="W305" s="188"/>
      <c r="X305" s="188"/>
      <c r="Y305" s="188"/>
      <c r="Z305" s="188"/>
      <c r="AA305" s="70"/>
      <c r="AB305" s="70"/>
      <c r="AC305" s="70"/>
      <c r="AD305" s="71"/>
      <c r="AE305" s="316">
        <f>+SUM(AE297:AN304)</f>
        <v>0</v>
      </c>
      <c r="AF305" s="316"/>
      <c r="AG305" s="316"/>
      <c r="AH305" s="316"/>
      <c r="AI305" s="316"/>
      <c r="AJ305" s="316"/>
      <c r="AK305" s="316"/>
      <c r="AL305" s="316"/>
      <c r="AM305" s="316"/>
      <c r="AN305" s="316"/>
    </row>
    <row r="307" spans="1:40" ht="92.25" customHeight="1">
      <c r="A307" s="262" t="s">
        <v>1424</v>
      </c>
      <c r="B307" s="262"/>
      <c r="C307" s="262"/>
      <c r="D307" s="262"/>
      <c r="E307" s="262"/>
      <c r="F307" s="262"/>
      <c r="G307" s="262"/>
      <c r="H307" s="262"/>
      <c r="I307" s="262"/>
      <c r="J307" s="262"/>
      <c r="K307" s="262"/>
      <c r="L307" s="262"/>
      <c r="M307" s="262"/>
      <c r="N307" s="262"/>
      <c r="O307" s="262"/>
      <c r="P307" s="262"/>
      <c r="Q307" s="262"/>
      <c r="R307" s="262"/>
      <c r="S307" s="262"/>
      <c r="T307" s="262"/>
      <c r="U307" s="262"/>
      <c r="V307" s="262"/>
      <c r="W307" s="262"/>
      <c r="X307" s="262"/>
      <c r="Y307" s="262"/>
      <c r="Z307" s="262"/>
      <c r="AA307" s="262"/>
      <c r="AB307" s="262"/>
      <c r="AC307" s="262"/>
      <c r="AD307" s="262"/>
      <c r="AE307" s="262"/>
      <c r="AF307" s="262"/>
      <c r="AG307" s="262"/>
      <c r="AH307" s="262"/>
      <c r="AI307" s="262"/>
      <c r="AJ307" s="262"/>
      <c r="AK307" s="262"/>
      <c r="AL307" s="262"/>
      <c r="AM307" s="262"/>
      <c r="AN307" s="262"/>
    </row>
    <row r="308" spans="1:40" ht="14.25" customHeight="1">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c r="AA308" s="62"/>
      <c r="AB308" s="62"/>
      <c r="AC308" s="62"/>
      <c r="AD308" s="62"/>
      <c r="AE308" s="62"/>
      <c r="AF308" s="62"/>
      <c r="AG308" s="62"/>
      <c r="AH308" s="62"/>
      <c r="AI308" s="62"/>
      <c r="AJ308" s="62"/>
      <c r="AK308" s="62"/>
      <c r="AL308" s="62"/>
      <c r="AM308" s="62"/>
      <c r="AN308" s="62"/>
    </row>
    <row r="309" spans="1:40" ht="14.25" customHeight="1">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c r="AA309" s="62"/>
      <c r="AB309" s="62"/>
      <c r="AC309" s="62"/>
      <c r="AD309" s="62"/>
      <c r="AE309" s="62"/>
      <c r="AF309" s="62"/>
      <c r="AG309" s="62"/>
      <c r="AH309" s="62"/>
      <c r="AI309" s="62"/>
      <c r="AJ309" s="62"/>
      <c r="AK309" s="62"/>
      <c r="AL309" s="62"/>
      <c r="AM309" s="62"/>
      <c r="AN309" s="62"/>
    </row>
    <row r="310" spans="1:40" ht="14.25" customHeight="1">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c r="AA310" s="62"/>
      <c r="AB310" s="62"/>
      <c r="AC310" s="62"/>
      <c r="AD310" s="62"/>
      <c r="AE310" s="62"/>
      <c r="AF310" s="62"/>
      <c r="AG310" s="62"/>
      <c r="AH310" s="62"/>
      <c r="AI310" s="62"/>
      <c r="AJ310" s="62"/>
      <c r="AK310" s="62"/>
      <c r="AL310" s="62"/>
      <c r="AM310" s="62"/>
      <c r="AN310" s="62"/>
    </row>
    <row r="311" spans="1:40" ht="14.25" customHeight="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c r="AA311" s="62"/>
      <c r="AB311" s="62"/>
      <c r="AC311" s="62"/>
      <c r="AD311" s="62"/>
      <c r="AE311" s="62"/>
      <c r="AF311" s="62"/>
      <c r="AG311" s="62"/>
      <c r="AH311" s="62"/>
      <c r="AI311" s="62"/>
      <c r="AJ311" s="62"/>
      <c r="AK311" s="62"/>
      <c r="AL311" s="62"/>
      <c r="AM311" s="62"/>
      <c r="AN311" s="62"/>
    </row>
    <row r="312" spans="1:40" ht="14.25" customHeight="1">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c r="AA312" s="62"/>
      <c r="AB312" s="62"/>
      <c r="AC312" s="62"/>
      <c r="AD312" s="62"/>
      <c r="AE312" s="62"/>
      <c r="AF312" s="62"/>
      <c r="AG312" s="62"/>
      <c r="AH312" s="62"/>
      <c r="AI312" s="62"/>
      <c r="AJ312" s="62"/>
      <c r="AK312" s="62"/>
      <c r="AL312" s="62"/>
      <c r="AM312" s="62"/>
      <c r="AN312" s="62"/>
    </row>
    <row r="313" spans="1:40" ht="14.25" customHeight="1">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c r="AA313" s="62"/>
      <c r="AB313" s="62"/>
      <c r="AC313" s="62"/>
      <c r="AD313" s="62"/>
      <c r="AE313" s="62"/>
      <c r="AF313" s="62"/>
      <c r="AG313" s="62"/>
      <c r="AH313" s="62"/>
      <c r="AI313" s="62"/>
      <c r="AJ313" s="62"/>
      <c r="AK313" s="62"/>
      <c r="AL313" s="62"/>
      <c r="AM313" s="62"/>
      <c r="AN313" s="62"/>
    </row>
    <row r="314" spans="1:40" ht="14.25" customHeight="1">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c r="AA314" s="62"/>
      <c r="AB314" s="62"/>
      <c r="AC314" s="62"/>
      <c r="AD314" s="62"/>
      <c r="AE314" s="62"/>
      <c r="AF314" s="62"/>
      <c r="AG314" s="62"/>
      <c r="AH314" s="62"/>
      <c r="AI314" s="62"/>
      <c r="AJ314" s="62"/>
      <c r="AK314" s="62"/>
      <c r="AL314" s="62"/>
      <c r="AM314" s="62"/>
      <c r="AN314" s="62"/>
    </row>
    <row r="315" spans="1:40" ht="14.25" customHeight="1">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c r="AA315" s="62"/>
      <c r="AB315" s="62"/>
      <c r="AC315" s="62"/>
      <c r="AD315" s="62"/>
      <c r="AE315" s="62"/>
      <c r="AF315" s="62"/>
      <c r="AG315" s="62"/>
      <c r="AH315" s="62"/>
      <c r="AI315" s="62"/>
      <c r="AJ315" s="62"/>
      <c r="AK315" s="62"/>
      <c r="AL315" s="62"/>
      <c r="AM315" s="62"/>
      <c r="AN315" s="62"/>
    </row>
    <row r="316" spans="1:40" ht="26.25" customHeight="1">
      <c r="A316" s="310" t="s">
        <v>107</v>
      </c>
      <c r="B316" s="311"/>
      <c r="C316" s="311"/>
      <c r="D316" s="311"/>
      <c r="E316" s="311"/>
      <c r="F316" s="311"/>
      <c r="G316" s="311"/>
      <c r="H316" s="311"/>
      <c r="I316" s="311"/>
      <c r="J316" s="311"/>
      <c r="K316" s="311"/>
      <c r="L316" s="311"/>
      <c r="M316" s="311"/>
      <c r="N316" s="311"/>
      <c r="O316" s="311"/>
      <c r="P316" s="311"/>
      <c r="Q316" s="311"/>
      <c r="R316" s="311"/>
      <c r="S316" s="311"/>
      <c r="T316" s="311"/>
      <c r="U316" s="311"/>
      <c r="V316" s="311"/>
      <c r="W316" s="311"/>
      <c r="X316" s="311"/>
      <c r="Y316" s="311"/>
      <c r="Z316" s="308">
        <f>+M237</f>
        <v>0</v>
      </c>
      <c r="AA316" s="308"/>
      <c r="AB316" s="308"/>
      <c r="AC316" s="308"/>
      <c r="AD316" s="308"/>
      <c r="AE316" s="308"/>
      <c r="AF316" s="308"/>
      <c r="AG316" s="308"/>
      <c r="AH316" s="308"/>
      <c r="AI316" s="308"/>
      <c r="AJ316" s="308"/>
      <c r="AK316" s="308"/>
      <c r="AL316" s="308"/>
      <c r="AM316" s="308"/>
      <c r="AN316" s="309"/>
    </row>
    <row r="317" spans="1:40" ht="48" customHeight="1">
      <c r="A317" s="221" t="s">
        <v>108</v>
      </c>
      <c r="B317" s="221"/>
      <c r="C317" s="221"/>
      <c r="D317" s="221"/>
      <c r="E317" s="221"/>
      <c r="F317" s="221"/>
      <c r="G317" s="221"/>
      <c r="H317" s="221"/>
      <c r="I317" s="221"/>
      <c r="J317" s="221"/>
      <c r="K317" s="221" t="s">
        <v>109</v>
      </c>
      <c r="L317" s="221"/>
      <c r="M317" s="221"/>
      <c r="N317" s="221"/>
      <c r="O317" s="221"/>
      <c r="P317" s="221"/>
      <c r="Q317" s="221"/>
      <c r="R317" s="221" t="s">
        <v>1465</v>
      </c>
      <c r="S317" s="221"/>
      <c r="T317" s="221"/>
      <c r="U317" s="221"/>
      <c r="V317" s="221"/>
      <c r="W317" s="221"/>
      <c r="X317" s="221"/>
      <c r="Y317" s="221"/>
      <c r="Z317" s="221"/>
      <c r="AA317" s="282" t="s">
        <v>1451</v>
      </c>
      <c r="AB317" s="282"/>
      <c r="AC317" s="282"/>
      <c r="AD317" s="282"/>
      <c r="AE317" s="221" t="s">
        <v>1466</v>
      </c>
      <c r="AF317" s="221"/>
      <c r="AG317" s="221"/>
      <c r="AH317" s="221"/>
      <c r="AI317" s="221"/>
      <c r="AJ317" s="221"/>
      <c r="AK317" s="221"/>
      <c r="AL317" s="221"/>
      <c r="AM317" s="221"/>
      <c r="AN317" s="221"/>
    </row>
    <row r="318" spans="1:40" ht="39.950000000000003" customHeight="1">
      <c r="A318" s="304"/>
      <c r="B318" s="304"/>
      <c r="C318" s="304"/>
      <c r="D318" s="304"/>
      <c r="E318" s="304"/>
      <c r="F318" s="304"/>
      <c r="G318" s="304"/>
      <c r="H318" s="304"/>
      <c r="I318" s="304"/>
      <c r="J318" s="304"/>
      <c r="K318" s="305"/>
      <c r="L318" s="305"/>
      <c r="M318" s="305"/>
      <c r="N318" s="305"/>
      <c r="O318" s="305"/>
      <c r="P318" s="305"/>
      <c r="Q318" s="305"/>
      <c r="R318" s="137"/>
      <c r="S318" s="137"/>
      <c r="T318" s="137"/>
      <c r="U318" s="137"/>
      <c r="V318" s="137"/>
      <c r="W318" s="137"/>
      <c r="X318" s="137"/>
      <c r="Y318" s="137"/>
      <c r="Z318" s="137"/>
      <c r="AA318" s="138"/>
      <c r="AB318" s="138"/>
      <c r="AC318" s="138"/>
      <c r="AD318" s="138"/>
      <c r="AE318" s="284">
        <f>+R318*AA318</f>
        <v>0</v>
      </c>
      <c r="AF318" s="306"/>
      <c r="AG318" s="306"/>
      <c r="AH318" s="306"/>
      <c r="AI318" s="306"/>
      <c r="AJ318" s="306"/>
      <c r="AK318" s="306"/>
      <c r="AL318" s="306"/>
      <c r="AM318" s="306"/>
      <c r="AN318" s="307"/>
    </row>
    <row r="319" spans="1:40" ht="39.950000000000003" customHeight="1">
      <c r="A319" s="304"/>
      <c r="B319" s="304"/>
      <c r="C319" s="304"/>
      <c r="D319" s="304"/>
      <c r="E319" s="304"/>
      <c r="F319" s="304"/>
      <c r="G319" s="304"/>
      <c r="H319" s="304"/>
      <c r="I319" s="304"/>
      <c r="J319" s="304"/>
      <c r="K319" s="305"/>
      <c r="L319" s="305"/>
      <c r="M319" s="305"/>
      <c r="N319" s="305"/>
      <c r="O319" s="305"/>
      <c r="P319" s="305"/>
      <c r="Q319" s="305"/>
      <c r="R319" s="137"/>
      <c r="S319" s="137"/>
      <c r="T319" s="137"/>
      <c r="U319" s="137"/>
      <c r="V319" s="137"/>
      <c r="W319" s="137"/>
      <c r="X319" s="137"/>
      <c r="Y319" s="137"/>
      <c r="Z319" s="137"/>
      <c r="AA319" s="138"/>
      <c r="AB319" s="138"/>
      <c r="AC319" s="138"/>
      <c r="AD319" s="138"/>
      <c r="AE319" s="284">
        <f>+R319*AA319</f>
        <v>0</v>
      </c>
      <c r="AF319" s="306"/>
      <c r="AG319" s="306"/>
      <c r="AH319" s="306"/>
      <c r="AI319" s="306"/>
      <c r="AJ319" s="306"/>
      <c r="AK319" s="306"/>
      <c r="AL319" s="306"/>
      <c r="AM319" s="306"/>
      <c r="AN319" s="307"/>
    </row>
    <row r="320" spans="1:40" ht="39.950000000000003" customHeight="1">
      <c r="A320" s="304"/>
      <c r="B320" s="304"/>
      <c r="C320" s="304"/>
      <c r="D320" s="304"/>
      <c r="E320" s="304"/>
      <c r="F320" s="304"/>
      <c r="G320" s="304"/>
      <c r="H320" s="304"/>
      <c r="I320" s="304"/>
      <c r="J320" s="304"/>
      <c r="K320" s="305"/>
      <c r="L320" s="305"/>
      <c r="M320" s="305"/>
      <c r="N320" s="305"/>
      <c r="O320" s="305"/>
      <c r="P320" s="305"/>
      <c r="Q320" s="305"/>
      <c r="R320" s="137"/>
      <c r="S320" s="137"/>
      <c r="T320" s="137"/>
      <c r="U320" s="137"/>
      <c r="V320" s="137"/>
      <c r="W320" s="137"/>
      <c r="X320" s="137"/>
      <c r="Y320" s="137"/>
      <c r="Z320" s="137"/>
      <c r="AA320" s="138"/>
      <c r="AB320" s="138"/>
      <c r="AC320" s="138"/>
      <c r="AD320" s="138"/>
      <c r="AE320" s="284">
        <f>+R320*AA320</f>
        <v>0</v>
      </c>
      <c r="AF320" s="306"/>
      <c r="AG320" s="306"/>
      <c r="AH320" s="306"/>
      <c r="AI320" s="306"/>
      <c r="AJ320" s="306"/>
      <c r="AK320" s="306"/>
      <c r="AL320" s="306"/>
      <c r="AM320" s="306"/>
      <c r="AN320" s="307"/>
    </row>
    <row r="321" spans="1:40" ht="39.950000000000003" customHeight="1">
      <c r="A321" s="304"/>
      <c r="B321" s="304"/>
      <c r="C321" s="304"/>
      <c r="D321" s="304"/>
      <c r="E321" s="304"/>
      <c r="F321" s="304"/>
      <c r="G321" s="304"/>
      <c r="H321" s="304"/>
      <c r="I321" s="304"/>
      <c r="J321" s="304"/>
      <c r="K321" s="305"/>
      <c r="L321" s="305"/>
      <c r="M321" s="305"/>
      <c r="N321" s="305"/>
      <c r="O321" s="305"/>
      <c r="P321" s="305"/>
      <c r="Q321" s="305"/>
      <c r="R321" s="137"/>
      <c r="S321" s="137"/>
      <c r="T321" s="137"/>
      <c r="U321" s="137"/>
      <c r="V321" s="137"/>
      <c r="W321" s="137"/>
      <c r="X321" s="137"/>
      <c r="Y321" s="137"/>
      <c r="Z321" s="137"/>
      <c r="AA321" s="138"/>
      <c r="AB321" s="138"/>
      <c r="AC321" s="138"/>
      <c r="AD321" s="138"/>
      <c r="AE321" s="284">
        <f>+R321*AA321</f>
        <v>0</v>
      </c>
      <c r="AF321" s="306"/>
      <c r="AG321" s="306"/>
      <c r="AH321" s="306"/>
      <c r="AI321" s="306"/>
      <c r="AJ321" s="306"/>
      <c r="AK321" s="306"/>
      <c r="AL321" s="306"/>
      <c r="AM321" s="306"/>
      <c r="AN321" s="307"/>
    </row>
    <row r="322" spans="1:40" ht="39.950000000000003" customHeight="1">
      <c r="A322" s="304"/>
      <c r="B322" s="304"/>
      <c r="C322" s="304"/>
      <c r="D322" s="304"/>
      <c r="E322" s="304"/>
      <c r="F322" s="304"/>
      <c r="G322" s="304"/>
      <c r="H322" s="304"/>
      <c r="I322" s="304"/>
      <c r="J322" s="304"/>
      <c r="K322" s="305"/>
      <c r="L322" s="305"/>
      <c r="M322" s="305"/>
      <c r="N322" s="305"/>
      <c r="O322" s="305"/>
      <c r="P322" s="305"/>
      <c r="Q322" s="305"/>
      <c r="R322" s="137"/>
      <c r="S322" s="137"/>
      <c r="T322" s="137"/>
      <c r="U322" s="137"/>
      <c r="V322" s="137"/>
      <c r="W322" s="137"/>
      <c r="X322" s="137"/>
      <c r="Y322" s="137"/>
      <c r="Z322" s="137"/>
      <c r="AA322" s="138"/>
      <c r="AB322" s="138"/>
      <c r="AC322" s="138"/>
      <c r="AD322" s="138"/>
      <c r="AE322" s="284">
        <f>+R322*AA322</f>
        <v>0</v>
      </c>
      <c r="AF322" s="306"/>
      <c r="AG322" s="306"/>
      <c r="AH322" s="306"/>
      <c r="AI322" s="306"/>
      <c r="AJ322" s="306"/>
      <c r="AK322" s="306"/>
      <c r="AL322" s="306"/>
      <c r="AM322" s="306"/>
      <c r="AN322" s="307"/>
    </row>
    <row r="323" spans="1:40" ht="45" customHeight="1">
      <c r="A323" s="298" t="s">
        <v>78</v>
      </c>
      <c r="B323" s="299"/>
      <c r="C323" s="299"/>
      <c r="D323" s="299"/>
      <c r="E323" s="299"/>
      <c r="F323" s="299"/>
      <c r="G323" s="299"/>
      <c r="H323" s="299"/>
      <c r="I323" s="299"/>
      <c r="J323" s="299"/>
      <c r="K323" s="299"/>
      <c r="L323" s="299"/>
      <c r="M323" s="299"/>
      <c r="N323" s="299"/>
      <c r="O323" s="299"/>
      <c r="P323" s="299"/>
      <c r="Q323" s="299"/>
      <c r="R323" s="299"/>
      <c r="S323" s="299"/>
      <c r="T323" s="299"/>
      <c r="U323" s="299"/>
      <c r="V323" s="299"/>
      <c r="W323" s="299"/>
      <c r="X323" s="299"/>
      <c r="Y323" s="299"/>
      <c r="Z323" s="299"/>
      <c r="AA323" s="299"/>
      <c r="AB323" s="299"/>
      <c r="AC323" s="299"/>
      <c r="AD323" s="300"/>
      <c r="AE323" s="301">
        <f>+SUM(AE318:AN322)</f>
        <v>0</v>
      </c>
      <c r="AF323" s="301"/>
      <c r="AG323" s="301"/>
      <c r="AH323" s="301"/>
      <c r="AI323" s="301"/>
      <c r="AJ323" s="301"/>
      <c r="AK323" s="301"/>
      <c r="AL323" s="301"/>
      <c r="AM323" s="301"/>
      <c r="AN323" s="301"/>
    </row>
    <row r="324" spans="1:40" ht="14.25" customHeight="1"/>
    <row r="325" spans="1:40" ht="26.25" customHeight="1">
      <c r="A325" s="310" t="s">
        <v>111</v>
      </c>
      <c r="B325" s="311"/>
      <c r="C325" s="311"/>
      <c r="D325" s="311"/>
      <c r="E325" s="311"/>
      <c r="F325" s="311"/>
      <c r="G325" s="311"/>
      <c r="H325" s="311"/>
      <c r="I325" s="311"/>
      <c r="J325" s="311"/>
      <c r="K325" s="311"/>
      <c r="L325" s="311"/>
      <c r="M325" s="311"/>
      <c r="N325" s="311"/>
      <c r="O325" s="311"/>
      <c r="P325" s="311"/>
      <c r="Q325" s="311"/>
      <c r="R325" s="311"/>
      <c r="S325" s="311"/>
      <c r="T325" s="311"/>
      <c r="U325" s="311"/>
      <c r="V325" s="311"/>
      <c r="W325" s="311"/>
      <c r="X325" s="311"/>
      <c r="Y325" s="311"/>
      <c r="Z325" s="308">
        <f>+M255</f>
        <v>0</v>
      </c>
      <c r="AA325" s="308"/>
      <c r="AB325" s="308"/>
      <c r="AC325" s="308"/>
      <c r="AD325" s="308"/>
      <c r="AE325" s="308"/>
      <c r="AF325" s="308"/>
      <c r="AG325" s="308"/>
      <c r="AH325" s="308"/>
      <c r="AI325" s="308"/>
      <c r="AJ325" s="308"/>
      <c r="AK325" s="308"/>
      <c r="AL325" s="308"/>
      <c r="AM325" s="308"/>
      <c r="AN325" s="309"/>
    </row>
    <row r="326" spans="1:40" ht="49.5" customHeight="1">
      <c r="A326" s="221" t="s">
        <v>108</v>
      </c>
      <c r="B326" s="221"/>
      <c r="C326" s="221"/>
      <c r="D326" s="221"/>
      <c r="E326" s="221"/>
      <c r="F326" s="221"/>
      <c r="G326" s="221"/>
      <c r="H326" s="221"/>
      <c r="I326" s="221"/>
      <c r="J326" s="221"/>
      <c r="K326" s="221" t="s">
        <v>109</v>
      </c>
      <c r="L326" s="221"/>
      <c r="M326" s="221"/>
      <c r="N326" s="221"/>
      <c r="O326" s="221"/>
      <c r="P326" s="221"/>
      <c r="Q326" s="221"/>
      <c r="R326" s="221" t="s">
        <v>1465</v>
      </c>
      <c r="S326" s="221"/>
      <c r="T326" s="221"/>
      <c r="U326" s="221"/>
      <c r="V326" s="221"/>
      <c r="W326" s="221"/>
      <c r="X326" s="221"/>
      <c r="Y326" s="221"/>
      <c r="Z326" s="221"/>
      <c r="AA326" s="282" t="s">
        <v>1451</v>
      </c>
      <c r="AB326" s="282"/>
      <c r="AC326" s="282"/>
      <c r="AD326" s="282"/>
      <c r="AE326" s="221" t="s">
        <v>1466</v>
      </c>
      <c r="AF326" s="221"/>
      <c r="AG326" s="221"/>
      <c r="AH326" s="221"/>
      <c r="AI326" s="221"/>
      <c r="AJ326" s="221"/>
      <c r="AK326" s="221"/>
      <c r="AL326" s="221"/>
      <c r="AM326" s="221"/>
      <c r="AN326" s="221"/>
    </row>
    <row r="327" spans="1:40" ht="39.950000000000003" customHeight="1">
      <c r="A327" s="304"/>
      <c r="B327" s="304"/>
      <c r="C327" s="304"/>
      <c r="D327" s="304"/>
      <c r="E327" s="304"/>
      <c r="F327" s="304"/>
      <c r="G327" s="304"/>
      <c r="H327" s="304"/>
      <c r="I327" s="304"/>
      <c r="J327" s="304"/>
      <c r="K327" s="305"/>
      <c r="L327" s="305"/>
      <c r="M327" s="305"/>
      <c r="N327" s="305"/>
      <c r="O327" s="305"/>
      <c r="P327" s="305"/>
      <c r="Q327" s="305"/>
      <c r="R327" s="137"/>
      <c r="S327" s="137"/>
      <c r="T327" s="137"/>
      <c r="U327" s="137"/>
      <c r="V327" s="137"/>
      <c r="W327" s="137"/>
      <c r="X327" s="137"/>
      <c r="Y327" s="137"/>
      <c r="Z327" s="137"/>
      <c r="AA327" s="138"/>
      <c r="AB327" s="138"/>
      <c r="AC327" s="138"/>
      <c r="AD327" s="138"/>
      <c r="AE327" s="284">
        <f>+R327*AA327</f>
        <v>0</v>
      </c>
      <c r="AF327" s="306"/>
      <c r="AG327" s="306"/>
      <c r="AH327" s="306"/>
      <c r="AI327" s="306"/>
      <c r="AJ327" s="306"/>
      <c r="AK327" s="306"/>
      <c r="AL327" s="306"/>
      <c r="AM327" s="306"/>
      <c r="AN327" s="307"/>
    </row>
    <row r="328" spans="1:40" ht="39.950000000000003" customHeight="1">
      <c r="A328" s="304"/>
      <c r="B328" s="304"/>
      <c r="C328" s="304"/>
      <c r="D328" s="304"/>
      <c r="E328" s="304"/>
      <c r="F328" s="304"/>
      <c r="G328" s="304"/>
      <c r="H328" s="304"/>
      <c r="I328" s="304"/>
      <c r="J328" s="304"/>
      <c r="K328" s="305"/>
      <c r="L328" s="305"/>
      <c r="M328" s="305"/>
      <c r="N328" s="305"/>
      <c r="O328" s="305"/>
      <c r="P328" s="305"/>
      <c r="Q328" s="305"/>
      <c r="R328" s="137"/>
      <c r="S328" s="137"/>
      <c r="T328" s="137"/>
      <c r="U328" s="137"/>
      <c r="V328" s="137"/>
      <c r="W328" s="137"/>
      <c r="X328" s="137"/>
      <c r="Y328" s="137"/>
      <c r="Z328" s="137"/>
      <c r="AA328" s="138"/>
      <c r="AB328" s="138"/>
      <c r="AC328" s="138"/>
      <c r="AD328" s="138"/>
      <c r="AE328" s="284">
        <f>+R328*AA328</f>
        <v>0</v>
      </c>
      <c r="AF328" s="306"/>
      <c r="AG328" s="306"/>
      <c r="AH328" s="306"/>
      <c r="AI328" s="306"/>
      <c r="AJ328" s="306"/>
      <c r="AK328" s="306"/>
      <c r="AL328" s="306"/>
      <c r="AM328" s="306"/>
      <c r="AN328" s="307"/>
    </row>
    <row r="329" spans="1:40" ht="39.950000000000003" customHeight="1">
      <c r="A329" s="304"/>
      <c r="B329" s="304"/>
      <c r="C329" s="304"/>
      <c r="D329" s="304"/>
      <c r="E329" s="304"/>
      <c r="F329" s="304"/>
      <c r="G329" s="304"/>
      <c r="H329" s="304"/>
      <c r="I329" s="304"/>
      <c r="J329" s="304"/>
      <c r="K329" s="305"/>
      <c r="L329" s="305"/>
      <c r="M329" s="305"/>
      <c r="N329" s="305"/>
      <c r="O329" s="305"/>
      <c r="P329" s="305"/>
      <c r="Q329" s="305"/>
      <c r="R329" s="137"/>
      <c r="S329" s="137"/>
      <c r="T329" s="137"/>
      <c r="U329" s="137"/>
      <c r="V329" s="137"/>
      <c r="W329" s="137"/>
      <c r="X329" s="137"/>
      <c r="Y329" s="137"/>
      <c r="Z329" s="137"/>
      <c r="AA329" s="138"/>
      <c r="AB329" s="138"/>
      <c r="AC329" s="138"/>
      <c r="AD329" s="138"/>
      <c r="AE329" s="284">
        <f>+R329*AA329</f>
        <v>0</v>
      </c>
      <c r="AF329" s="306"/>
      <c r="AG329" s="306"/>
      <c r="AH329" s="306"/>
      <c r="AI329" s="306"/>
      <c r="AJ329" s="306"/>
      <c r="AK329" s="306"/>
      <c r="AL329" s="306"/>
      <c r="AM329" s="306"/>
      <c r="AN329" s="307"/>
    </row>
    <row r="330" spans="1:40" ht="39.950000000000003" customHeight="1">
      <c r="A330" s="304"/>
      <c r="B330" s="304"/>
      <c r="C330" s="304"/>
      <c r="D330" s="304"/>
      <c r="E330" s="304"/>
      <c r="F330" s="304"/>
      <c r="G330" s="304"/>
      <c r="H330" s="304"/>
      <c r="I330" s="304"/>
      <c r="J330" s="304"/>
      <c r="K330" s="305"/>
      <c r="L330" s="305"/>
      <c r="M330" s="305"/>
      <c r="N330" s="305"/>
      <c r="O330" s="305"/>
      <c r="P330" s="305"/>
      <c r="Q330" s="305"/>
      <c r="R330" s="137"/>
      <c r="S330" s="137"/>
      <c r="T330" s="137"/>
      <c r="U330" s="137"/>
      <c r="V330" s="137"/>
      <c r="W330" s="137"/>
      <c r="X330" s="137"/>
      <c r="Y330" s="137"/>
      <c r="Z330" s="137"/>
      <c r="AA330" s="138"/>
      <c r="AB330" s="138"/>
      <c r="AC330" s="138"/>
      <c r="AD330" s="138"/>
      <c r="AE330" s="284">
        <f>+R330*AA330</f>
        <v>0</v>
      </c>
      <c r="AF330" s="306"/>
      <c r="AG330" s="306"/>
      <c r="AH330" s="306"/>
      <c r="AI330" s="306"/>
      <c r="AJ330" s="306"/>
      <c r="AK330" s="306"/>
      <c r="AL330" s="306"/>
      <c r="AM330" s="306"/>
      <c r="AN330" s="307"/>
    </row>
    <row r="331" spans="1:40" ht="39.950000000000003" customHeight="1">
      <c r="A331" s="304"/>
      <c r="B331" s="304"/>
      <c r="C331" s="304"/>
      <c r="D331" s="304"/>
      <c r="E331" s="304"/>
      <c r="F331" s="304"/>
      <c r="G331" s="304"/>
      <c r="H331" s="304"/>
      <c r="I331" s="304"/>
      <c r="J331" s="304"/>
      <c r="K331" s="305"/>
      <c r="L331" s="305"/>
      <c r="M331" s="305"/>
      <c r="N331" s="305"/>
      <c r="O331" s="305"/>
      <c r="P331" s="305"/>
      <c r="Q331" s="305"/>
      <c r="R331" s="137"/>
      <c r="S331" s="137"/>
      <c r="T331" s="137"/>
      <c r="U331" s="137"/>
      <c r="V331" s="137"/>
      <c r="W331" s="137"/>
      <c r="X331" s="137"/>
      <c r="Y331" s="137"/>
      <c r="Z331" s="137"/>
      <c r="AA331" s="138"/>
      <c r="AB331" s="138"/>
      <c r="AC331" s="138"/>
      <c r="AD331" s="138"/>
      <c r="AE331" s="284">
        <f>+R331*AA331</f>
        <v>0</v>
      </c>
      <c r="AF331" s="306"/>
      <c r="AG331" s="306"/>
      <c r="AH331" s="306"/>
      <c r="AI331" s="306"/>
      <c r="AJ331" s="306"/>
      <c r="AK331" s="306"/>
      <c r="AL331" s="306"/>
      <c r="AM331" s="306"/>
      <c r="AN331" s="307"/>
    </row>
    <row r="332" spans="1:40" ht="45" customHeight="1">
      <c r="A332" s="312" t="s">
        <v>78</v>
      </c>
      <c r="B332" s="313"/>
      <c r="C332" s="313"/>
      <c r="D332" s="313"/>
      <c r="E332" s="313"/>
      <c r="F332" s="313"/>
      <c r="G332" s="313"/>
      <c r="H332" s="313"/>
      <c r="I332" s="313"/>
      <c r="J332" s="313"/>
      <c r="K332" s="313"/>
      <c r="L332" s="313"/>
      <c r="M332" s="313"/>
      <c r="N332" s="313"/>
      <c r="O332" s="313"/>
      <c r="P332" s="313"/>
      <c r="Q332" s="313"/>
      <c r="R332" s="313"/>
      <c r="S332" s="313"/>
      <c r="T332" s="313"/>
      <c r="U332" s="313"/>
      <c r="V332" s="313"/>
      <c r="W332" s="313"/>
      <c r="X332" s="313"/>
      <c r="Y332" s="313"/>
      <c r="Z332" s="313"/>
      <c r="AA332" s="313"/>
      <c r="AB332" s="313"/>
      <c r="AC332" s="313"/>
      <c r="AD332" s="314"/>
      <c r="AE332" s="301">
        <f>+SUM(AE327:AN331)</f>
        <v>0</v>
      </c>
      <c r="AF332" s="301"/>
      <c r="AG332" s="301"/>
      <c r="AH332" s="301"/>
      <c r="AI332" s="301"/>
      <c r="AJ332" s="301"/>
      <c r="AK332" s="301"/>
      <c r="AL332" s="301"/>
      <c r="AM332" s="301"/>
      <c r="AN332" s="301"/>
    </row>
    <row r="333" spans="1:40" ht="14.25" customHeight="1"/>
    <row r="334" spans="1:40" ht="26.25" customHeight="1">
      <c r="A334" s="310" t="s">
        <v>112</v>
      </c>
      <c r="B334" s="311"/>
      <c r="C334" s="311"/>
      <c r="D334" s="311"/>
      <c r="E334" s="311"/>
      <c r="F334" s="311"/>
      <c r="G334" s="311"/>
      <c r="H334" s="311"/>
      <c r="I334" s="311"/>
      <c r="J334" s="311"/>
      <c r="K334" s="311"/>
      <c r="L334" s="311"/>
      <c r="M334" s="311"/>
      <c r="N334" s="311"/>
      <c r="O334" s="311"/>
      <c r="P334" s="311"/>
      <c r="Q334" s="311"/>
      <c r="R334" s="311"/>
      <c r="S334" s="311"/>
      <c r="T334" s="311"/>
      <c r="U334" s="311"/>
      <c r="V334" s="311"/>
      <c r="W334" s="311"/>
      <c r="X334" s="311"/>
      <c r="Y334" s="311"/>
      <c r="Z334" s="308">
        <f>+M273</f>
        <v>0</v>
      </c>
      <c r="AA334" s="308"/>
      <c r="AB334" s="308"/>
      <c r="AC334" s="308"/>
      <c r="AD334" s="308"/>
      <c r="AE334" s="308"/>
      <c r="AF334" s="308"/>
      <c r="AG334" s="308"/>
      <c r="AH334" s="308"/>
      <c r="AI334" s="308"/>
      <c r="AJ334" s="308"/>
      <c r="AK334" s="308"/>
      <c r="AL334" s="308"/>
      <c r="AM334" s="308"/>
      <c r="AN334" s="309"/>
    </row>
    <row r="335" spans="1:40" ht="56.25" customHeight="1">
      <c r="A335" s="221" t="s">
        <v>108</v>
      </c>
      <c r="B335" s="221"/>
      <c r="C335" s="221"/>
      <c r="D335" s="221"/>
      <c r="E335" s="221"/>
      <c r="F335" s="221"/>
      <c r="G335" s="221"/>
      <c r="H335" s="221"/>
      <c r="I335" s="221"/>
      <c r="J335" s="221"/>
      <c r="K335" s="221" t="s">
        <v>109</v>
      </c>
      <c r="L335" s="221"/>
      <c r="M335" s="221"/>
      <c r="N335" s="221"/>
      <c r="O335" s="221"/>
      <c r="P335" s="221"/>
      <c r="Q335" s="221"/>
      <c r="R335" s="221" t="s">
        <v>110</v>
      </c>
      <c r="S335" s="221"/>
      <c r="T335" s="221"/>
      <c r="U335" s="221"/>
      <c r="V335" s="221"/>
      <c r="W335" s="221"/>
      <c r="X335" s="221"/>
      <c r="Y335" s="221"/>
      <c r="Z335" s="221"/>
      <c r="AA335" s="282" t="s">
        <v>1451</v>
      </c>
      <c r="AB335" s="282"/>
      <c r="AC335" s="282"/>
      <c r="AD335" s="282"/>
      <c r="AE335" s="221" t="s">
        <v>77</v>
      </c>
      <c r="AF335" s="221"/>
      <c r="AG335" s="221"/>
      <c r="AH335" s="221"/>
      <c r="AI335" s="221"/>
      <c r="AJ335" s="221"/>
      <c r="AK335" s="221"/>
      <c r="AL335" s="221"/>
      <c r="AM335" s="221"/>
      <c r="AN335" s="221"/>
    </row>
    <row r="336" spans="1:40" ht="39.950000000000003" customHeight="1">
      <c r="A336" s="304"/>
      <c r="B336" s="304"/>
      <c r="C336" s="304"/>
      <c r="D336" s="304"/>
      <c r="E336" s="304"/>
      <c r="F336" s="304"/>
      <c r="G336" s="304"/>
      <c r="H336" s="304"/>
      <c r="I336" s="304"/>
      <c r="J336" s="304"/>
      <c r="K336" s="305"/>
      <c r="L336" s="305"/>
      <c r="M336" s="305"/>
      <c r="N336" s="305"/>
      <c r="O336" s="305"/>
      <c r="P336" s="305"/>
      <c r="Q336" s="305"/>
      <c r="R336" s="137"/>
      <c r="S336" s="137"/>
      <c r="T336" s="137"/>
      <c r="U336" s="137"/>
      <c r="V336" s="137"/>
      <c r="W336" s="137"/>
      <c r="X336" s="137"/>
      <c r="Y336" s="137"/>
      <c r="Z336" s="137"/>
      <c r="AA336" s="138"/>
      <c r="AB336" s="138"/>
      <c r="AC336" s="138"/>
      <c r="AD336" s="138"/>
      <c r="AE336" s="284">
        <f>+R336*AA336</f>
        <v>0</v>
      </c>
      <c r="AF336" s="306"/>
      <c r="AG336" s="306"/>
      <c r="AH336" s="306"/>
      <c r="AI336" s="306"/>
      <c r="AJ336" s="306"/>
      <c r="AK336" s="306"/>
      <c r="AL336" s="306"/>
      <c r="AM336" s="306"/>
      <c r="AN336" s="307"/>
    </row>
    <row r="337" spans="1:42" ht="39.950000000000003" customHeight="1">
      <c r="A337" s="304"/>
      <c r="B337" s="304"/>
      <c r="C337" s="304"/>
      <c r="D337" s="304"/>
      <c r="E337" s="304"/>
      <c r="F337" s="304"/>
      <c r="G337" s="304"/>
      <c r="H337" s="304"/>
      <c r="I337" s="304"/>
      <c r="J337" s="304"/>
      <c r="K337" s="305"/>
      <c r="L337" s="305"/>
      <c r="M337" s="305"/>
      <c r="N337" s="305"/>
      <c r="O337" s="305"/>
      <c r="P337" s="305"/>
      <c r="Q337" s="305"/>
      <c r="R337" s="137"/>
      <c r="S337" s="137"/>
      <c r="T337" s="137"/>
      <c r="U337" s="137"/>
      <c r="V337" s="137"/>
      <c r="W337" s="137"/>
      <c r="X337" s="137"/>
      <c r="Y337" s="137"/>
      <c r="Z337" s="137"/>
      <c r="AA337" s="138"/>
      <c r="AB337" s="138"/>
      <c r="AC337" s="138"/>
      <c r="AD337" s="138"/>
      <c r="AE337" s="284">
        <f>+R337*AA337</f>
        <v>0</v>
      </c>
      <c r="AF337" s="306"/>
      <c r="AG337" s="306"/>
      <c r="AH337" s="306"/>
      <c r="AI337" s="306"/>
      <c r="AJ337" s="306"/>
      <c r="AK337" s="306"/>
      <c r="AL337" s="306"/>
      <c r="AM337" s="306"/>
      <c r="AN337" s="307"/>
    </row>
    <row r="338" spans="1:42" ht="39.950000000000003" customHeight="1">
      <c r="A338" s="304"/>
      <c r="B338" s="304"/>
      <c r="C338" s="304"/>
      <c r="D338" s="304"/>
      <c r="E338" s="304"/>
      <c r="F338" s="304"/>
      <c r="G338" s="304"/>
      <c r="H338" s="304"/>
      <c r="I338" s="304"/>
      <c r="J338" s="304"/>
      <c r="K338" s="305"/>
      <c r="L338" s="305"/>
      <c r="M338" s="305"/>
      <c r="N338" s="305"/>
      <c r="O338" s="305"/>
      <c r="P338" s="305"/>
      <c r="Q338" s="305"/>
      <c r="R338" s="137"/>
      <c r="S338" s="137"/>
      <c r="T338" s="137"/>
      <c r="U338" s="137"/>
      <c r="V338" s="137"/>
      <c r="W338" s="137"/>
      <c r="X338" s="137"/>
      <c r="Y338" s="137"/>
      <c r="Z338" s="137"/>
      <c r="AA338" s="138"/>
      <c r="AB338" s="138"/>
      <c r="AC338" s="138"/>
      <c r="AD338" s="138"/>
      <c r="AE338" s="284">
        <f>+R338*AA338</f>
        <v>0</v>
      </c>
      <c r="AF338" s="306"/>
      <c r="AG338" s="306"/>
      <c r="AH338" s="306"/>
      <c r="AI338" s="306"/>
      <c r="AJ338" s="306"/>
      <c r="AK338" s="306"/>
      <c r="AL338" s="306"/>
      <c r="AM338" s="306"/>
      <c r="AN338" s="307"/>
    </row>
    <row r="339" spans="1:42" ht="39.950000000000003" customHeight="1">
      <c r="A339" s="304"/>
      <c r="B339" s="304"/>
      <c r="C339" s="304"/>
      <c r="D339" s="304"/>
      <c r="E339" s="304"/>
      <c r="F339" s="304"/>
      <c r="G339" s="304"/>
      <c r="H339" s="304"/>
      <c r="I339" s="304"/>
      <c r="J339" s="304"/>
      <c r="K339" s="305"/>
      <c r="L339" s="305"/>
      <c r="M339" s="305"/>
      <c r="N339" s="305"/>
      <c r="O339" s="305"/>
      <c r="P339" s="305"/>
      <c r="Q339" s="305"/>
      <c r="R339" s="137"/>
      <c r="S339" s="137"/>
      <c r="T339" s="137"/>
      <c r="U339" s="137"/>
      <c r="V339" s="137"/>
      <c r="W339" s="137"/>
      <c r="X339" s="137"/>
      <c r="Y339" s="137"/>
      <c r="Z339" s="137"/>
      <c r="AA339" s="138"/>
      <c r="AB339" s="138"/>
      <c r="AC339" s="138"/>
      <c r="AD339" s="138"/>
      <c r="AE339" s="284">
        <f>+R339*AA339</f>
        <v>0</v>
      </c>
      <c r="AF339" s="306"/>
      <c r="AG339" s="306"/>
      <c r="AH339" s="306"/>
      <c r="AI339" s="306"/>
      <c r="AJ339" s="306"/>
      <c r="AK339" s="306"/>
      <c r="AL339" s="306"/>
      <c r="AM339" s="306"/>
      <c r="AN339" s="307"/>
    </row>
    <row r="340" spans="1:42" ht="39.950000000000003" customHeight="1">
      <c r="A340" s="304"/>
      <c r="B340" s="304"/>
      <c r="C340" s="304"/>
      <c r="D340" s="304"/>
      <c r="E340" s="304"/>
      <c r="F340" s="304"/>
      <c r="G340" s="304"/>
      <c r="H340" s="304"/>
      <c r="I340" s="304"/>
      <c r="J340" s="304"/>
      <c r="K340" s="305"/>
      <c r="L340" s="305"/>
      <c r="M340" s="305"/>
      <c r="N340" s="305"/>
      <c r="O340" s="305"/>
      <c r="P340" s="305"/>
      <c r="Q340" s="305"/>
      <c r="R340" s="137"/>
      <c r="S340" s="137"/>
      <c r="T340" s="137"/>
      <c r="U340" s="137"/>
      <c r="V340" s="137"/>
      <c r="W340" s="137"/>
      <c r="X340" s="137"/>
      <c r="Y340" s="137"/>
      <c r="Z340" s="137"/>
      <c r="AA340" s="138"/>
      <c r="AB340" s="138"/>
      <c r="AC340" s="138"/>
      <c r="AD340" s="138"/>
      <c r="AE340" s="284">
        <f>+R340*AA340</f>
        <v>0</v>
      </c>
      <c r="AF340" s="306"/>
      <c r="AG340" s="306"/>
      <c r="AH340" s="306"/>
      <c r="AI340" s="306"/>
      <c r="AJ340" s="306"/>
      <c r="AK340" s="306"/>
      <c r="AL340" s="306"/>
      <c r="AM340" s="306"/>
      <c r="AN340" s="307"/>
    </row>
    <row r="341" spans="1:42" ht="45" customHeight="1">
      <c r="A341" s="298" t="s">
        <v>78</v>
      </c>
      <c r="B341" s="299"/>
      <c r="C341" s="299"/>
      <c r="D341" s="299"/>
      <c r="E341" s="299"/>
      <c r="F341" s="299"/>
      <c r="G341" s="299"/>
      <c r="H341" s="299"/>
      <c r="I341" s="299"/>
      <c r="J341" s="299"/>
      <c r="K341" s="299"/>
      <c r="L341" s="299"/>
      <c r="M341" s="299"/>
      <c r="N341" s="299"/>
      <c r="O341" s="299"/>
      <c r="P341" s="299"/>
      <c r="Q341" s="299"/>
      <c r="R341" s="299"/>
      <c r="S341" s="299"/>
      <c r="T341" s="299"/>
      <c r="U341" s="299"/>
      <c r="V341" s="299"/>
      <c r="W341" s="299"/>
      <c r="X341" s="299"/>
      <c r="Y341" s="299"/>
      <c r="Z341" s="299"/>
      <c r="AA341" s="299"/>
      <c r="AB341" s="299"/>
      <c r="AC341" s="299"/>
      <c r="AD341" s="300"/>
      <c r="AE341" s="301">
        <f>+SUM(AE336:AN340)</f>
        <v>0</v>
      </c>
      <c r="AF341" s="301"/>
      <c r="AG341" s="301"/>
      <c r="AH341" s="301"/>
      <c r="AI341" s="301"/>
      <c r="AJ341" s="301"/>
      <c r="AK341" s="301"/>
      <c r="AL341" s="301"/>
      <c r="AM341" s="301"/>
      <c r="AN341" s="301"/>
    </row>
    <row r="342" spans="1:42" ht="14.25" customHeight="1"/>
    <row r="343" spans="1:42" ht="43.5" customHeight="1">
      <c r="A343" s="262" t="s">
        <v>120</v>
      </c>
      <c r="B343" s="262"/>
      <c r="C343" s="262"/>
      <c r="D343" s="262"/>
      <c r="E343" s="262"/>
      <c r="F343" s="262"/>
      <c r="G343" s="262"/>
      <c r="H343" s="262"/>
      <c r="I343" s="262"/>
      <c r="J343" s="262"/>
      <c r="K343" s="262"/>
      <c r="L343" s="262"/>
      <c r="M343" s="262"/>
      <c r="N343" s="262"/>
      <c r="O343" s="262"/>
      <c r="P343" s="262"/>
      <c r="Q343" s="262"/>
      <c r="R343" s="262"/>
      <c r="S343" s="262"/>
      <c r="T343" s="262"/>
      <c r="U343" s="262"/>
      <c r="V343" s="262"/>
      <c r="W343" s="262"/>
      <c r="X343" s="262"/>
      <c r="Y343" s="262"/>
      <c r="Z343" s="262"/>
      <c r="AA343" s="262"/>
      <c r="AB343" s="262"/>
      <c r="AC343" s="262"/>
      <c r="AD343" s="262"/>
      <c r="AE343" s="262"/>
      <c r="AF343" s="262"/>
      <c r="AG343" s="262"/>
      <c r="AH343" s="262"/>
      <c r="AI343" s="262"/>
      <c r="AJ343" s="262"/>
      <c r="AK343" s="262"/>
      <c r="AL343" s="262"/>
      <c r="AM343" s="262"/>
      <c r="AN343" s="262"/>
    </row>
    <row r="344" spans="1:42" ht="14.25" customHeight="1"/>
    <row r="345" spans="1:42" ht="39.950000000000003" customHeight="1">
      <c r="A345" s="302" t="s">
        <v>113</v>
      </c>
      <c r="B345" s="302"/>
      <c r="C345" s="302"/>
      <c r="D345" s="302"/>
      <c r="E345" s="302"/>
      <c r="F345" s="302"/>
      <c r="G345" s="302"/>
      <c r="H345" s="302"/>
      <c r="I345" s="302"/>
      <c r="J345" s="302"/>
      <c r="K345" s="302"/>
      <c r="L345" s="302"/>
      <c r="M345" s="186">
        <f>+A229</f>
        <v>0</v>
      </c>
      <c r="N345" s="186"/>
      <c r="O345" s="186"/>
      <c r="P345" s="186"/>
      <c r="Q345" s="186"/>
      <c r="R345" s="186"/>
      <c r="S345" s="186"/>
      <c r="T345" s="186"/>
      <c r="U345" s="186"/>
      <c r="V345" s="186"/>
      <c r="W345" s="186">
        <f>+M255</f>
        <v>0</v>
      </c>
      <c r="X345" s="186"/>
      <c r="Y345" s="186"/>
      <c r="Z345" s="186"/>
      <c r="AA345" s="186"/>
      <c r="AB345" s="186"/>
      <c r="AC345" s="186"/>
      <c r="AD345" s="186"/>
      <c r="AE345" s="186"/>
      <c r="AF345" s="186"/>
      <c r="AG345" s="186">
        <f>+A231</f>
        <v>0</v>
      </c>
      <c r="AH345" s="186"/>
      <c r="AI345" s="186"/>
      <c r="AJ345" s="186"/>
      <c r="AK345" s="186"/>
      <c r="AL345" s="186"/>
      <c r="AM345" s="186"/>
      <c r="AN345" s="186"/>
      <c r="AO345" s="186"/>
      <c r="AP345" s="186"/>
    </row>
    <row r="346" spans="1:42" ht="39.950000000000003" customHeight="1">
      <c r="A346" s="302" t="s">
        <v>114</v>
      </c>
      <c r="B346" s="302"/>
      <c r="C346" s="302"/>
      <c r="D346" s="302"/>
      <c r="E346" s="302"/>
      <c r="F346" s="302"/>
      <c r="G346" s="302"/>
      <c r="H346" s="302"/>
      <c r="I346" s="302"/>
      <c r="J346" s="302"/>
      <c r="K346" s="302"/>
      <c r="L346" s="302"/>
      <c r="M346" s="185">
        <f>+Q229</f>
        <v>0</v>
      </c>
      <c r="N346" s="186"/>
      <c r="O346" s="186"/>
      <c r="P346" s="186"/>
      <c r="Q346" s="186"/>
      <c r="R346" s="186"/>
      <c r="S346" s="186"/>
      <c r="T346" s="186"/>
      <c r="U346" s="186"/>
      <c r="V346" s="186"/>
      <c r="W346" s="185">
        <f>+Q230</f>
        <v>0</v>
      </c>
      <c r="X346" s="186"/>
      <c r="Y346" s="186"/>
      <c r="Z346" s="186"/>
      <c r="AA346" s="186"/>
      <c r="AB346" s="186"/>
      <c r="AC346" s="186"/>
      <c r="AD346" s="186"/>
      <c r="AE346" s="186"/>
      <c r="AF346" s="186"/>
      <c r="AG346" s="185">
        <f>+Q231</f>
        <v>0</v>
      </c>
      <c r="AH346" s="186"/>
      <c r="AI346" s="186"/>
      <c r="AJ346" s="186"/>
      <c r="AK346" s="186"/>
      <c r="AL346" s="186"/>
      <c r="AM346" s="186"/>
      <c r="AN346" s="186"/>
      <c r="AO346" s="186"/>
      <c r="AP346" s="186"/>
    </row>
    <row r="347" spans="1:42" ht="39.950000000000003" customHeight="1">
      <c r="A347" s="302" t="s">
        <v>115</v>
      </c>
      <c r="B347" s="302"/>
      <c r="C347" s="302"/>
      <c r="D347" s="302"/>
      <c r="E347" s="302"/>
      <c r="F347" s="302"/>
      <c r="G347" s="302"/>
      <c r="H347" s="302"/>
      <c r="I347" s="302"/>
      <c r="J347" s="302"/>
      <c r="K347" s="302"/>
      <c r="L347" s="302"/>
      <c r="M347" s="185">
        <f>+AE323</f>
        <v>0</v>
      </c>
      <c r="N347" s="186"/>
      <c r="O347" s="186"/>
      <c r="P347" s="186"/>
      <c r="Q347" s="186"/>
      <c r="R347" s="186"/>
      <c r="S347" s="186"/>
      <c r="T347" s="186"/>
      <c r="U347" s="186"/>
      <c r="V347" s="186"/>
      <c r="W347" s="185">
        <f>+AE332</f>
        <v>0</v>
      </c>
      <c r="X347" s="186"/>
      <c r="Y347" s="186"/>
      <c r="Z347" s="186"/>
      <c r="AA347" s="186"/>
      <c r="AB347" s="186"/>
      <c r="AC347" s="186"/>
      <c r="AD347" s="186"/>
      <c r="AE347" s="186"/>
      <c r="AF347" s="186"/>
      <c r="AG347" s="185">
        <f>+AE341</f>
        <v>0</v>
      </c>
      <c r="AH347" s="186"/>
      <c r="AI347" s="186"/>
      <c r="AJ347" s="186"/>
      <c r="AK347" s="186"/>
      <c r="AL347" s="186"/>
      <c r="AM347" s="186"/>
      <c r="AN347" s="186"/>
      <c r="AO347" s="186"/>
      <c r="AP347" s="186"/>
    </row>
    <row r="348" spans="1:42" ht="39.950000000000003" customHeight="1">
      <c r="A348" s="302" t="s">
        <v>116</v>
      </c>
      <c r="B348" s="302"/>
      <c r="C348" s="302"/>
      <c r="D348" s="302"/>
      <c r="E348" s="302"/>
      <c r="F348" s="302"/>
      <c r="G348" s="302"/>
      <c r="H348" s="302"/>
      <c r="I348" s="302"/>
      <c r="J348" s="302"/>
      <c r="K348" s="302"/>
      <c r="L348" s="302"/>
      <c r="M348" s="185">
        <f>+M346-M347</f>
        <v>0</v>
      </c>
      <c r="N348" s="186"/>
      <c r="O348" s="186"/>
      <c r="P348" s="186"/>
      <c r="Q348" s="186"/>
      <c r="R348" s="186"/>
      <c r="S348" s="186"/>
      <c r="T348" s="186"/>
      <c r="U348" s="186"/>
      <c r="V348" s="186"/>
      <c r="W348" s="185">
        <f>+W346-W347</f>
        <v>0</v>
      </c>
      <c r="X348" s="186"/>
      <c r="Y348" s="186"/>
      <c r="Z348" s="186"/>
      <c r="AA348" s="186"/>
      <c r="AB348" s="186"/>
      <c r="AC348" s="186"/>
      <c r="AD348" s="186"/>
      <c r="AE348" s="186"/>
      <c r="AF348" s="186"/>
      <c r="AG348" s="185">
        <f>+AG346-AG347</f>
        <v>0</v>
      </c>
      <c r="AH348" s="186"/>
      <c r="AI348" s="186"/>
      <c r="AJ348" s="186"/>
      <c r="AK348" s="186"/>
      <c r="AL348" s="186"/>
      <c r="AM348" s="186"/>
      <c r="AN348" s="186"/>
      <c r="AO348" s="186"/>
      <c r="AP348" s="186"/>
    </row>
    <row r="349" spans="1:42" ht="39.950000000000003" customHeight="1">
      <c r="A349" s="302" t="s">
        <v>117</v>
      </c>
      <c r="B349" s="302"/>
      <c r="C349" s="302"/>
      <c r="D349" s="302"/>
      <c r="E349" s="302"/>
      <c r="F349" s="302"/>
      <c r="G349" s="302"/>
      <c r="H349" s="302"/>
      <c r="I349" s="302"/>
      <c r="J349" s="302"/>
      <c r="K349" s="302"/>
      <c r="L349" s="302"/>
      <c r="M349" s="297"/>
      <c r="N349" s="297"/>
      <c r="O349" s="297"/>
      <c r="P349" s="297"/>
      <c r="Q349" s="297"/>
      <c r="R349" s="297"/>
      <c r="S349" s="297"/>
      <c r="T349" s="297"/>
      <c r="U349" s="297"/>
      <c r="V349" s="297"/>
      <c r="W349" s="297"/>
      <c r="X349" s="297"/>
      <c r="Y349" s="297"/>
      <c r="Z349" s="297"/>
      <c r="AA349" s="297"/>
      <c r="AB349" s="297"/>
      <c r="AC349" s="297"/>
      <c r="AD349" s="297"/>
      <c r="AE349" s="297"/>
      <c r="AF349" s="297"/>
      <c r="AG349" s="297"/>
      <c r="AH349" s="297"/>
      <c r="AI349" s="297"/>
      <c r="AJ349" s="297"/>
      <c r="AK349" s="297"/>
      <c r="AL349" s="297"/>
      <c r="AM349" s="297"/>
      <c r="AN349" s="297"/>
      <c r="AO349" s="297"/>
      <c r="AP349" s="297"/>
    </row>
    <row r="350" spans="1:42" ht="49.5" customHeight="1">
      <c r="A350" s="302" t="s">
        <v>118</v>
      </c>
      <c r="B350" s="302"/>
      <c r="C350" s="302"/>
      <c r="D350" s="302"/>
      <c r="E350" s="302"/>
      <c r="F350" s="302"/>
      <c r="G350" s="302"/>
      <c r="H350" s="302"/>
      <c r="I350" s="302"/>
      <c r="J350" s="302"/>
      <c r="K350" s="302"/>
      <c r="L350" s="302"/>
      <c r="M350" s="185">
        <f>+M348*M349</f>
        <v>0</v>
      </c>
      <c r="N350" s="186"/>
      <c r="O350" s="186"/>
      <c r="P350" s="186"/>
      <c r="Q350" s="186"/>
      <c r="R350" s="186"/>
      <c r="S350" s="186"/>
      <c r="T350" s="186"/>
      <c r="U350" s="186"/>
      <c r="V350" s="186"/>
      <c r="W350" s="185">
        <f>+W348*W349</f>
        <v>0</v>
      </c>
      <c r="X350" s="186"/>
      <c r="Y350" s="186"/>
      <c r="Z350" s="186"/>
      <c r="AA350" s="186"/>
      <c r="AB350" s="186"/>
      <c r="AC350" s="186"/>
      <c r="AD350" s="186"/>
      <c r="AE350" s="186"/>
      <c r="AF350" s="186"/>
      <c r="AG350" s="185">
        <f>+AG348*AG349</f>
        <v>0</v>
      </c>
      <c r="AH350" s="186"/>
      <c r="AI350" s="186"/>
      <c r="AJ350" s="186"/>
      <c r="AK350" s="186"/>
      <c r="AL350" s="186"/>
      <c r="AM350" s="186"/>
      <c r="AN350" s="186"/>
      <c r="AO350" s="186"/>
      <c r="AP350" s="186"/>
    </row>
    <row r="351" spans="1:42" ht="39.950000000000003" customHeight="1">
      <c r="A351" s="302" t="s">
        <v>119</v>
      </c>
      <c r="B351" s="302"/>
      <c r="C351" s="302"/>
      <c r="D351" s="302"/>
      <c r="E351" s="302"/>
      <c r="F351" s="302"/>
      <c r="G351" s="302"/>
      <c r="H351" s="302"/>
      <c r="I351" s="302"/>
      <c r="J351" s="302"/>
      <c r="K351" s="302"/>
      <c r="L351" s="302"/>
      <c r="M351" s="294" t="e">
        <f>+T305/(M350+W350+AG350)</f>
        <v>#DIV/0!</v>
      </c>
      <c r="N351" s="295"/>
      <c r="O351" s="295"/>
      <c r="P351" s="295"/>
      <c r="Q351" s="295"/>
      <c r="R351" s="295"/>
      <c r="S351" s="295"/>
      <c r="T351" s="295"/>
      <c r="U351" s="295"/>
      <c r="V351" s="295"/>
      <c r="W351" s="295"/>
      <c r="X351" s="295"/>
      <c r="Y351" s="295"/>
      <c r="Z351" s="295"/>
      <c r="AA351" s="295"/>
      <c r="AB351" s="295"/>
      <c r="AC351" s="295"/>
      <c r="AD351" s="295"/>
      <c r="AE351" s="295"/>
      <c r="AF351" s="295"/>
      <c r="AG351" s="295"/>
      <c r="AH351" s="295"/>
      <c r="AI351" s="295"/>
      <c r="AJ351" s="295"/>
      <c r="AK351" s="295"/>
      <c r="AL351" s="295"/>
      <c r="AM351" s="295"/>
      <c r="AN351" s="295"/>
      <c r="AO351" s="295"/>
      <c r="AP351" s="296"/>
    </row>
    <row r="352" spans="1:42" ht="39.950000000000003" customHeight="1">
      <c r="A352" s="303" t="s">
        <v>1316</v>
      </c>
      <c r="B352" s="303"/>
      <c r="C352" s="303"/>
      <c r="D352" s="303"/>
      <c r="E352" s="303"/>
      <c r="F352" s="303"/>
      <c r="G352" s="303"/>
      <c r="H352" s="303"/>
      <c r="I352" s="303"/>
      <c r="J352" s="303"/>
      <c r="K352" s="303"/>
      <c r="L352" s="303"/>
      <c r="M352" s="293" t="e">
        <f>+$M$351*M349</f>
        <v>#DIV/0!</v>
      </c>
      <c r="N352" s="293"/>
      <c r="O352" s="293"/>
      <c r="P352" s="293"/>
      <c r="Q352" s="293"/>
      <c r="R352" s="293"/>
      <c r="S352" s="293"/>
      <c r="T352" s="293"/>
      <c r="U352" s="293"/>
      <c r="V352" s="293"/>
      <c r="W352" s="293" t="e">
        <f>+$M$351*W349</f>
        <v>#DIV/0!</v>
      </c>
      <c r="X352" s="293"/>
      <c r="Y352" s="293"/>
      <c r="Z352" s="293"/>
      <c r="AA352" s="293"/>
      <c r="AB352" s="293"/>
      <c r="AC352" s="293"/>
      <c r="AD352" s="293"/>
      <c r="AE352" s="293"/>
      <c r="AF352" s="293"/>
      <c r="AG352" s="293" t="e">
        <f>+$M$351*AG349</f>
        <v>#DIV/0!</v>
      </c>
      <c r="AH352" s="293"/>
      <c r="AI352" s="293"/>
      <c r="AJ352" s="293"/>
      <c r="AK352" s="293"/>
      <c r="AL352" s="293"/>
      <c r="AM352" s="293"/>
      <c r="AN352" s="293"/>
      <c r="AO352" s="293"/>
      <c r="AP352" s="293"/>
    </row>
    <row r="353" spans="1:42" ht="14.25" customHeight="1"/>
    <row r="354" spans="1:42" ht="32.25" customHeight="1">
      <c r="A354" s="287" t="s">
        <v>122</v>
      </c>
      <c r="B354" s="287"/>
      <c r="C354" s="287"/>
      <c r="D354" s="287"/>
      <c r="E354" s="287"/>
      <c r="F354" s="287"/>
      <c r="G354" s="287"/>
      <c r="H354" s="287"/>
      <c r="I354" s="287"/>
      <c r="J354" s="287"/>
      <c r="K354" s="287"/>
      <c r="L354" s="287"/>
      <c r="M354" s="287"/>
      <c r="N354" s="287"/>
      <c r="O354" s="287"/>
      <c r="P354" s="287"/>
      <c r="Q354" s="287"/>
      <c r="R354" s="287"/>
      <c r="S354" s="287"/>
      <c r="T354" s="287"/>
      <c r="U354" s="287"/>
      <c r="V354" s="287"/>
      <c r="W354" s="287"/>
      <c r="X354" s="287"/>
      <c r="Y354" s="287"/>
      <c r="Z354" s="287"/>
      <c r="AA354" s="287"/>
      <c r="AB354" s="287"/>
      <c r="AC354" s="287"/>
      <c r="AD354" s="287"/>
      <c r="AE354" s="287"/>
      <c r="AF354" s="287"/>
      <c r="AG354" s="287"/>
      <c r="AH354" s="287"/>
      <c r="AI354" s="287"/>
      <c r="AJ354" s="287"/>
      <c r="AK354" s="287"/>
      <c r="AL354" s="287"/>
      <c r="AM354" s="287"/>
      <c r="AN354" s="287"/>
      <c r="AO354" s="287"/>
      <c r="AP354" s="287"/>
    </row>
    <row r="355" spans="1:42" ht="14.25" customHeight="1"/>
    <row r="356" spans="1:42" ht="63.95" customHeight="1">
      <c r="A356" s="221" t="s">
        <v>54</v>
      </c>
      <c r="B356" s="221"/>
      <c r="C356" s="221"/>
      <c r="D356" s="221"/>
      <c r="E356" s="221"/>
      <c r="F356" s="221"/>
      <c r="G356" s="221"/>
      <c r="H356" s="221"/>
      <c r="I356" s="221"/>
      <c r="J356" s="221"/>
      <c r="K356" s="221"/>
      <c r="L356" s="221"/>
      <c r="M356" s="221" t="s">
        <v>1464</v>
      </c>
      <c r="N356" s="221"/>
      <c r="O356" s="221"/>
      <c r="P356" s="221"/>
      <c r="Q356" s="221"/>
      <c r="R356" s="221"/>
      <c r="S356" s="221"/>
      <c r="T356" s="221"/>
      <c r="U356" s="282" t="s">
        <v>1459</v>
      </c>
      <c r="V356" s="282"/>
      <c r="W356" s="282"/>
      <c r="X356" s="282"/>
      <c r="Y356" s="221" t="s">
        <v>79</v>
      </c>
      <c r="Z356" s="221"/>
      <c r="AA356" s="221"/>
      <c r="AB356" s="221"/>
      <c r="AC356" s="221"/>
      <c r="AD356" s="221"/>
      <c r="AE356" s="221" t="s">
        <v>80</v>
      </c>
      <c r="AF356" s="221"/>
      <c r="AG356" s="221"/>
      <c r="AH356" s="221"/>
      <c r="AI356" s="221"/>
      <c r="AJ356" s="221"/>
      <c r="AK356" s="221" t="s">
        <v>81</v>
      </c>
      <c r="AL356" s="221"/>
      <c r="AM356" s="221"/>
      <c r="AN356" s="221"/>
      <c r="AO356" s="221"/>
      <c r="AP356" s="221"/>
    </row>
    <row r="357" spans="1:42" ht="39.950000000000003" customHeight="1">
      <c r="A357" s="175" t="s">
        <v>157</v>
      </c>
      <c r="B357" s="175"/>
      <c r="C357" s="175"/>
      <c r="D357" s="175"/>
      <c r="E357" s="175"/>
      <c r="F357" s="175"/>
      <c r="G357" s="175"/>
      <c r="H357" s="175"/>
      <c r="I357" s="175"/>
      <c r="J357" s="175"/>
      <c r="K357" s="175"/>
      <c r="L357" s="175"/>
      <c r="M357" s="283" t="s">
        <v>1391</v>
      </c>
      <c r="N357" s="283"/>
      <c r="O357" s="283"/>
      <c r="P357" s="283"/>
      <c r="Q357" s="283"/>
      <c r="R357" s="283"/>
      <c r="S357" s="283"/>
      <c r="T357" s="283"/>
      <c r="U357" s="221" t="s">
        <v>1391</v>
      </c>
      <c r="V357" s="221"/>
      <c r="W357" s="221"/>
      <c r="X357" s="221"/>
      <c r="Y357" s="135">
        <f>+SUM(AG201+AG209+AG216)</f>
        <v>0</v>
      </c>
      <c r="Z357" s="135"/>
      <c r="AA357" s="135"/>
      <c r="AB357" s="135"/>
      <c r="AC357" s="135"/>
      <c r="AD357" s="135"/>
      <c r="AE357" s="135">
        <f>+Y357*(1+$F$224)</f>
        <v>0</v>
      </c>
      <c r="AF357" s="135"/>
      <c r="AG357" s="135"/>
      <c r="AH357" s="135"/>
      <c r="AI357" s="135"/>
      <c r="AJ357" s="135"/>
      <c r="AK357" s="135">
        <f>+AE357*(1+$I$224)</f>
        <v>0</v>
      </c>
      <c r="AL357" s="135"/>
      <c r="AM357" s="135"/>
      <c r="AN357" s="135"/>
      <c r="AO357" s="135"/>
      <c r="AP357" s="135"/>
    </row>
    <row r="358" spans="1:42" ht="39.950000000000003" customHeight="1">
      <c r="A358" s="136"/>
      <c r="B358" s="136"/>
      <c r="C358" s="136"/>
      <c r="D358" s="136"/>
      <c r="E358" s="136"/>
      <c r="F358" s="136"/>
      <c r="G358" s="136"/>
      <c r="H358" s="136"/>
      <c r="I358" s="136"/>
      <c r="J358" s="136"/>
      <c r="K358" s="136"/>
      <c r="L358" s="136"/>
      <c r="M358" s="137"/>
      <c r="N358" s="137"/>
      <c r="O358" s="137"/>
      <c r="P358" s="137"/>
      <c r="Q358" s="137"/>
      <c r="R358" s="137"/>
      <c r="S358" s="137"/>
      <c r="T358" s="137"/>
      <c r="U358" s="138"/>
      <c r="V358" s="138"/>
      <c r="W358" s="138"/>
      <c r="X358" s="138"/>
      <c r="Y358" s="135">
        <f t="shared" ref="Y358:Y366" si="10">+M358*U358</f>
        <v>0</v>
      </c>
      <c r="Z358" s="135"/>
      <c r="AA358" s="135"/>
      <c r="AB358" s="135"/>
      <c r="AC358" s="135"/>
      <c r="AD358" s="135"/>
      <c r="AE358" s="135">
        <f t="shared" ref="AE358:AE366" si="11">+Y358*(1+$F$224)</f>
        <v>0</v>
      </c>
      <c r="AF358" s="135"/>
      <c r="AG358" s="135"/>
      <c r="AH358" s="135"/>
      <c r="AI358" s="135"/>
      <c r="AJ358" s="135"/>
      <c r="AK358" s="135">
        <f t="shared" ref="AK358:AK366" si="12">+AE358*(1+$I$224)</f>
        <v>0</v>
      </c>
      <c r="AL358" s="135"/>
      <c r="AM358" s="135"/>
      <c r="AN358" s="135"/>
      <c r="AO358" s="135"/>
      <c r="AP358" s="135"/>
    </row>
    <row r="359" spans="1:42" ht="39.950000000000003" customHeight="1">
      <c r="A359" s="136"/>
      <c r="B359" s="136"/>
      <c r="C359" s="136"/>
      <c r="D359" s="136"/>
      <c r="E359" s="136"/>
      <c r="F359" s="136"/>
      <c r="G359" s="136"/>
      <c r="H359" s="136"/>
      <c r="I359" s="136"/>
      <c r="J359" s="136"/>
      <c r="K359" s="136"/>
      <c r="L359" s="136"/>
      <c r="M359" s="137"/>
      <c r="N359" s="137"/>
      <c r="O359" s="137"/>
      <c r="P359" s="137"/>
      <c r="Q359" s="137"/>
      <c r="R359" s="137"/>
      <c r="S359" s="137"/>
      <c r="T359" s="137"/>
      <c r="U359" s="138"/>
      <c r="V359" s="138"/>
      <c r="W359" s="138"/>
      <c r="X359" s="138"/>
      <c r="Y359" s="135">
        <f t="shared" si="10"/>
        <v>0</v>
      </c>
      <c r="Z359" s="135"/>
      <c r="AA359" s="135"/>
      <c r="AB359" s="135"/>
      <c r="AC359" s="135"/>
      <c r="AD359" s="135"/>
      <c r="AE359" s="135">
        <f t="shared" si="11"/>
        <v>0</v>
      </c>
      <c r="AF359" s="135"/>
      <c r="AG359" s="135"/>
      <c r="AH359" s="135"/>
      <c r="AI359" s="135"/>
      <c r="AJ359" s="135"/>
      <c r="AK359" s="135">
        <f t="shared" si="12"/>
        <v>0</v>
      </c>
      <c r="AL359" s="135"/>
      <c r="AM359" s="135"/>
      <c r="AN359" s="135"/>
      <c r="AO359" s="135"/>
      <c r="AP359" s="135"/>
    </row>
    <row r="360" spans="1:42" ht="39.950000000000003" customHeight="1">
      <c r="A360" s="136"/>
      <c r="B360" s="136"/>
      <c r="C360" s="136"/>
      <c r="D360" s="136"/>
      <c r="E360" s="136"/>
      <c r="F360" s="136"/>
      <c r="G360" s="136"/>
      <c r="H360" s="136"/>
      <c r="I360" s="136"/>
      <c r="J360" s="136"/>
      <c r="K360" s="136"/>
      <c r="L360" s="136"/>
      <c r="M360" s="137"/>
      <c r="N360" s="137"/>
      <c r="O360" s="137"/>
      <c r="P360" s="137"/>
      <c r="Q360" s="137"/>
      <c r="R360" s="137"/>
      <c r="S360" s="137"/>
      <c r="T360" s="137"/>
      <c r="U360" s="138"/>
      <c r="V360" s="138"/>
      <c r="W360" s="138"/>
      <c r="X360" s="138"/>
      <c r="Y360" s="135">
        <f t="shared" si="10"/>
        <v>0</v>
      </c>
      <c r="Z360" s="135"/>
      <c r="AA360" s="135"/>
      <c r="AB360" s="135"/>
      <c r="AC360" s="135"/>
      <c r="AD360" s="135"/>
      <c r="AE360" s="135">
        <f t="shared" si="11"/>
        <v>0</v>
      </c>
      <c r="AF360" s="135"/>
      <c r="AG360" s="135"/>
      <c r="AH360" s="135"/>
      <c r="AI360" s="135"/>
      <c r="AJ360" s="135"/>
      <c r="AK360" s="135">
        <f t="shared" si="12"/>
        <v>0</v>
      </c>
      <c r="AL360" s="135"/>
      <c r="AM360" s="135"/>
      <c r="AN360" s="135"/>
      <c r="AO360" s="135"/>
      <c r="AP360" s="135"/>
    </row>
    <row r="361" spans="1:42" ht="39.950000000000003" customHeight="1">
      <c r="A361" s="136"/>
      <c r="B361" s="136"/>
      <c r="C361" s="136"/>
      <c r="D361" s="136"/>
      <c r="E361" s="136"/>
      <c r="F361" s="136"/>
      <c r="G361" s="136"/>
      <c r="H361" s="136"/>
      <c r="I361" s="136"/>
      <c r="J361" s="136"/>
      <c r="K361" s="136"/>
      <c r="L361" s="136"/>
      <c r="M361" s="137"/>
      <c r="N361" s="137"/>
      <c r="O361" s="137"/>
      <c r="P361" s="137"/>
      <c r="Q361" s="137"/>
      <c r="R361" s="137"/>
      <c r="S361" s="137"/>
      <c r="T361" s="137"/>
      <c r="U361" s="138"/>
      <c r="V361" s="138"/>
      <c r="W361" s="138"/>
      <c r="X361" s="138"/>
      <c r="Y361" s="135">
        <f t="shared" si="10"/>
        <v>0</v>
      </c>
      <c r="Z361" s="135"/>
      <c r="AA361" s="135"/>
      <c r="AB361" s="135"/>
      <c r="AC361" s="135"/>
      <c r="AD361" s="135"/>
      <c r="AE361" s="135">
        <f t="shared" si="11"/>
        <v>0</v>
      </c>
      <c r="AF361" s="135"/>
      <c r="AG361" s="135"/>
      <c r="AH361" s="135"/>
      <c r="AI361" s="135"/>
      <c r="AJ361" s="135"/>
      <c r="AK361" s="135">
        <f t="shared" si="12"/>
        <v>0</v>
      </c>
      <c r="AL361" s="135"/>
      <c r="AM361" s="135"/>
      <c r="AN361" s="135"/>
      <c r="AO361" s="135"/>
      <c r="AP361" s="135"/>
    </row>
    <row r="362" spans="1:42" ht="39.950000000000003" customHeight="1">
      <c r="A362" s="136"/>
      <c r="B362" s="136"/>
      <c r="C362" s="136"/>
      <c r="D362" s="136"/>
      <c r="E362" s="136"/>
      <c r="F362" s="136"/>
      <c r="G362" s="136"/>
      <c r="H362" s="136"/>
      <c r="I362" s="136"/>
      <c r="J362" s="136"/>
      <c r="K362" s="136"/>
      <c r="L362" s="136"/>
      <c r="M362" s="137"/>
      <c r="N362" s="137"/>
      <c r="O362" s="137"/>
      <c r="P362" s="137"/>
      <c r="Q362" s="137"/>
      <c r="R362" s="137"/>
      <c r="S362" s="137"/>
      <c r="T362" s="137"/>
      <c r="U362" s="138"/>
      <c r="V362" s="138"/>
      <c r="W362" s="138"/>
      <c r="X362" s="138"/>
      <c r="Y362" s="135">
        <f t="shared" si="10"/>
        <v>0</v>
      </c>
      <c r="Z362" s="135"/>
      <c r="AA362" s="135"/>
      <c r="AB362" s="135"/>
      <c r="AC362" s="135"/>
      <c r="AD362" s="135"/>
      <c r="AE362" s="135">
        <f t="shared" si="11"/>
        <v>0</v>
      </c>
      <c r="AF362" s="135"/>
      <c r="AG362" s="135"/>
      <c r="AH362" s="135"/>
      <c r="AI362" s="135"/>
      <c r="AJ362" s="135"/>
      <c r="AK362" s="135">
        <f t="shared" si="12"/>
        <v>0</v>
      </c>
      <c r="AL362" s="135"/>
      <c r="AM362" s="135"/>
      <c r="AN362" s="135"/>
      <c r="AO362" s="135"/>
      <c r="AP362" s="135"/>
    </row>
    <row r="363" spans="1:42" ht="39.950000000000003" customHeight="1">
      <c r="A363" s="136"/>
      <c r="B363" s="136"/>
      <c r="C363" s="136"/>
      <c r="D363" s="136"/>
      <c r="E363" s="136"/>
      <c r="F363" s="136"/>
      <c r="G363" s="136"/>
      <c r="H363" s="136"/>
      <c r="I363" s="136"/>
      <c r="J363" s="136"/>
      <c r="K363" s="136"/>
      <c r="L363" s="136"/>
      <c r="M363" s="137"/>
      <c r="N363" s="137"/>
      <c r="O363" s="137"/>
      <c r="P363" s="137"/>
      <c r="Q363" s="137"/>
      <c r="R363" s="137"/>
      <c r="S363" s="137"/>
      <c r="T363" s="137"/>
      <c r="U363" s="138"/>
      <c r="V363" s="138"/>
      <c r="W363" s="138"/>
      <c r="X363" s="138"/>
      <c r="Y363" s="135">
        <f t="shared" si="10"/>
        <v>0</v>
      </c>
      <c r="Z363" s="135"/>
      <c r="AA363" s="135"/>
      <c r="AB363" s="135"/>
      <c r="AC363" s="135"/>
      <c r="AD363" s="135"/>
      <c r="AE363" s="135">
        <f t="shared" si="11"/>
        <v>0</v>
      </c>
      <c r="AF363" s="135"/>
      <c r="AG363" s="135"/>
      <c r="AH363" s="135"/>
      <c r="AI363" s="135"/>
      <c r="AJ363" s="135"/>
      <c r="AK363" s="135">
        <f t="shared" si="12"/>
        <v>0</v>
      </c>
      <c r="AL363" s="135"/>
      <c r="AM363" s="135"/>
      <c r="AN363" s="135"/>
      <c r="AO363" s="135"/>
      <c r="AP363" s="135"/>
    </row>
    <row r="364" spans="1:42" ht="39.950000000000003" customHeight="1">
      <c r="A364" s="136"/>
      <c r="B364" s="136"/>
      <c r="C364" s="136"/>
      <c r="D364" s="136"/>
      <c r="E364" s="136"/>
      <c r="F364" s="136"/>
      <c r="G364" s="136"/>
      <c r="H364" s="136"/>
      <c r="I364" s="136"/>
      <c r="J364" s="136"/>
      <c r="K364" s="136"/>
      <c r="L364" s="136"/>
      <c r="M364" s="137"/>
      <c r="N364" s="137"/>
      <c r="O364" s="137"/>
      <c r="P364" s="137"/>
      <c r="Q364" s="137"/>
      <c r="R364" s="137"/>
      <c r="S364" s="137"/>
      <c r="T364" s="137"/>
      <c r="U364" s="138"/>
      <c r="V364" s="138"/>
      <c r="W364" s="138"/>
      <c r="X364" s="138"/>
      <c r="Y364" s="135">
        <f t="shared" si="10"/>
        <v>0</v>
      </c>
      <c r="Z364" s="135"/>
      <c r="AA364" s="135"/>
      <c r="AB364" s="135"/>
      <c r="AC364" s="135"/>
      <c r="AD364" s="135"/>
      <c r="AE364" s="135">
        <f t="shared" si="11"/>
        <v>0</v>
      </c>
      <c r="AF364" s="135"/>
      <c r="AG364" s="135"/>
      <c r="AH364" s="135"/>
      <c r="AI364" s="135"/>
      <c r="AJ364" s="135"/>
      <c r="AK364" s="135">
        <f t="shared" si="12"/>
        <v>0</v>
      </c>
      <c r="AL364" s="135"/>
      <c r="AM364" s="135"/>
      <c r="AN364" s="135"/>
      <c r="AO364" s="135"/>
      <c r="AP364" s="135"/>
    </row>
    <row r="365" spans="1:42" ht="39.950000000000003" customHeight="1">
      <c r="A365" s="136"/>
      <c r="B365" s="136"/>
      <c r="C365" s="136"/>
      <c r="D365" s="136"/>
      <c r="E365" s="136"/>
      <c r="F365" s="136"/>
      <c r="G365" s="136"/>
      <c r="H365" s="136"/>
      <c r="I365" s="136"/>
      <c r="J365" s="136"/>
      <c r="K365" s="136"/>
      <c r="L365" s="136"/>
      <c r="M365" s="137"/>
      <c r="N365" s="137"/>
      <c r="O365" s="137"/>
      <c r="P365" s="137"/>
      <c r="Q365" s="137"/>
      <c r="R365" s="137"/>
      <c r="S365" s="137"/>
      <c r="T365" s="137"/>
      <c r="U365" s="138"/>
      <c r="V365" s="138"/>
      <c r="W365" s="138"/>
      <c r="X365" s="138"/>
      <c r="Y365" s="135">
        <f t="shared" si="10"/>
        <v>0</v>
      </c>
      <c r="Z365" s="135"/>
      <c r="AA365" s="135"/>
      <c r="AB365" s="135"/>
      <c r="AC365" s="135"/>
      <c r="AD365" s="135"/>
      <c r="AE365" s="135">
        <f t="shared" si="11"/>
        <v>0</v>
      </c>
      <c r="AF365" s="135"/>
      <c r="AG365" s="135"/>
      <c r="AH365" s="135"/>
      <c r="AI365" s="135"/>
      <c r="AJ365" s="135"/>
      <c r="AK365" s="135">
        <f t="shared" si="12"/>
        <v>0</v>
      </c>
      <c r="AL365" s="135"/>
      <c r="AM365" s="135"/>
      <c r="AN365" s="135"/>
      <c r="AO365" s="135"/>
      <c r="AP365" s="135"/>
    </row>
    <row r="366" spans="1:42" ht="39.950000000000003" customHeight="1">
      <c r="A366" s="136"/>
      <c r="B366" s="136"/>
      <c r="C366" s="136"/>
      <c r="D366" s="136"/>
      <c r="E366" s="136"/>
      <c r="F366" s="136"/>
      <c r="G366" s="136"/>
      <c r="H366" s="136"/>
      <c r="I366" s="136"/>
      <c r="J366" s="136"/>
      <c r="K366" s="136"/>
      <c r="L366" s="136"/>
      <c r="M366" s="137"/>
      <c r="N366" s="137"/>
      <c r="O366" s="137"/>
      <c r="P366" s="137"/>
      <c r="Q366" s="137"/>
      <c r="R366" s="137"/>
      <c r="S366" s="137"/>
      <c r="T366" s="137"/>
      <c r="U366" s="138"/>
      <c r="V366" s="138"/>
      <c r="W366" s="138"/>
      <c r="X366" s="138"/>
      <c r="Y366" s="135">
        <f t="shared" si="10"/>
        <v>0</v>
      </c>
      <c r="Z366" s="135"/>
      <c r="AA366" s="135"/>
      <c r="AB366" s="135"/>
      <c r="AC366" s="135"/>
      <c r="AD366" s="135"/>
      <c r="AE366" s="135">
        <f t="shared" si="11"/>
        <v>0</v>
      </c>
      <c r="AF366" s="135"/>
      <c r="AG366" s="135"/>
      <c r="AH366" s="135"/>
      <c r="AI366" s="135"/>
      <c r="AJ366" s="135"/>
      <c r="AK366" s="135">
        <f t="shared" si="12"/>
        <v>0</v>
      </c>
      <c r="AL366" s="135"/>
      <c r="AM366" s="135"/>
      <c r="AN366" s="135"/>
      <c r="AO366" s="135"/>
      <c r="AP366" s="135"/>
    </row>
    <row r="367" spans="1:42" ht="39.950000000000003" customHeight="1">
      <c r="A367" s="188" t="s">
        <v>78</v>
      </c>
      <c r="B367" s="188"/>
      <c r="C367" s="188"/>
      <c r="D367" s="188"/>
      <c r="E367" s="188"/>
      <c r="F367" s="188"/>
      <c r="G367" s="188"/>
      <c r="H367" s="188"/>
      <c r="I367" s="188"/>
      <c r="J367" s="188"/>
      <c r="K367" s="188"/>
      <c r="L367" s="188"/>
      <c r="M367" s="188"/>
      <c r="N367" s="188"/>
      <c r="O367" s="188"/>
      <c r="P367" s="188"/>
      <c r="Q367" s="188"/>
      <c r="R367" s="188"/>
      <c r="S367" s="188"/>
      <c r="T367" s="188"/>
      <c r="U367" s="188"/>
      <c r="V367" s="188"/>
      <c r="W367" s="188"/>
      <c r="X367" s="188"/>
      <c r="Y367" s="189">
        <f>SUM(Y357:AD366)</f>
        <v>0</v>
      </c>
      <c r="Z367" s="189"/>
      <c r="AA367" s="189"/>
      <c r="AB367" s="189"/>
      <c r="AC367" s="189"/>
      <c r="AD367" s="189"/>
      <c r="AE367" s="189">
        <f>SUM(AE357:AJ366)</f>
        <v>0</v>
      </c>
      <c r="AF367" s="189"/>
      <c r="AG367" s="189"/>
      <c r="AH367" s="189"/>
      <c r="AI367" s="189"/>
      <c r="AJ367" s="189"/>
      <c r="AK367" s="189">
        <f>SUM(AK357:AP366)</f>
        <v>0</v>
      </c>
      <c r="AL367" s="189"/>
      <c r="AM367" s="189"/>
      <c r="AN367" s="189"/>
      <c r="AO367" s="189"/>
      <c r="AP367" s="189"/>
    </row>
    <row r="368" spans="1:42" ht="14.25" customHeight="1"/>
    <row r="369" spans="1:41" ht="14.25" customHeight="1"/>
    <row r="370" spans="1:41" ht="30" customHeight="1">
      <c r="A370" s="217" t="s">
        <v>1385</v>
      </c>
      <c r="B370" s="217"/>
      <c r="C370" s="217"/>
      <c r="D370" s="217"/>
      <c r="E370" s="217"/>
      <c r="F370" s="217"/>
      <c r="G370" s="217"/>
      <c r="H370" s="217"/>
      <c r="I370" s="217"/>
      <c r="J370" s="217"/>
      <c r="K370" s="217"/>
      <c r="L370" s="217"/>
      <c r="M370" s="217"/>
      <c r="N370" s="217"/>
      <c r="O370" s="217"/>
      <c r="P370" s="217"/>
      <c r="Q370" s="217"/>
      <c r="R370" s="217"/>
      <c r="S370" s="217"/>
      <c r="T370" s="217"/>
      <c r="U370" s="217"/>
      <c r="V370" s="217"/>
      <c r="W370" s="217"/>
      <c r="X370" s="217"/>
      <c r="Y370" s="217"/>
      <c r="Z370" s="217"/>
      <c r="AA370" s="217"/>
      <c r="AB370" s="217"/>
      <c r="AC370" s="217"/>
      <c r="AD370" s="217"/>
      <c r="AE370" s="217"/>
      <c r="AF370" s="217"/>
      <c r="AG370" s="217"/>
      <c r="AH370" s="217"/>
      <c r="AI370" s="217"/>
      <c r="AJ370" s="217"/>
      <c r="AK370" s="217"/>
      <c r="AL370" s="217"/>
      <c r="AM370" s="217"/>
      <c r="AN370" s="217"/>
    </row>
    <row r="371" spans="1:41" ht="30" customHeight="1">
      <c r="A371" s="218" t="s">
        <v>1472</v>
      </c>
      <c r="B371" s="218"/>
      <c r="C371" s="218"/>
      <c r="D371" s="218"/>
      <c r="E371" s="218"/>
      <c r="F371" s="218"/>
      <c r="G371" s="218"/>
      <c r="H371" s="218"/>
      <c r="I371" s="218"/>
      <c r="J371" s="218"/>
      <c r="K371" s="218"/>
      <c r="L371" s="218"/>
      <c r="M371" s="218"/>
      <c r="N371" s="218"/>
      <c r="O371" s="218"/>
      <c r="P371" s="218"/>
      <c r="Q371" s="218"/>
      <c r="R371" s="218"/>
      <c r="S371" s="218"/>
      <c r="T371" s="218"/>
      <c r="U371" s="218"/>
      <c r="V371" s="218"/>
      <c r="W371" s="218"/>
      <c r="X371" s="218"/>
      <c r="Y371" s="218"/>
      <c r="Z371" s="218"/>
      <c r="AA371" s="218"/>
      <c r="AB371" s="218"/>
      <c r="AC371" s="218"/>
      <c r="AD371" s="218"/>
      <c r="AE371" s="218"/>
      <c r="AF371" s="218"/>
      <c r="AG371" s="218"/>
      <c r="AH371" s="218"/>
      <c r="AI371" s="218"/>
      <c r="AJ371" s="218"/>
      <c r="AK371" s="218"/>
      <c r="AL371" s="218"/>
      <c r="AM371" s="218"/>
      <c r="AN371" s="218"/>
      <c r="AO371" s="218"/>
    </row>
    <row r="372" spans="1:41" ht="45" customHeight="1">
      <c r="A372" s="218"/>
      <c r="B372" s="218"/>
      <c r="C372" s="218"/>
      <c r="D372" s="218"/>
      <c r="E372" s="218"/>
      <c r="F372" s="218"/>
      <c r="G372" s="218"/>
      <c r="H372" s="218"/>
      <c r="I372" s="218"/>
      <c r="J372" s="218"/>
      <c r="K372" s="218"/>
      <c r="L372" s="218"/>
      <c r="M372" s="218"/>
      <c r="N372" s="218"/>
      <c r="O372" s="218"/>
      <c r="P372" s="218"/>
      <c r="Q372" s="218"/>
      <c r="R372" s="218"/>
      <c r="S372" s="218"/>
      <c r="T372" s="218"/>
      <c r="U372" s="218"/>
      <c r="V372" s="218"/>
      <c r="W372" s="218"/>
      <c r="X372" s="218"/>
      <c r="Y372" s="218"/>
      <c r="Z372" s="218"/>
      <c r="AA372" s="218"/>
      <c r="AB372" s="218"/>
      <c r="AC372" s="218"/>
      <c r="AD372" s="218"/>
      <c r="AE372" s="218"/>
      <c r="AF372" s="218"/>
      <c r="AG372" s="218"/>
      <c r="AH372" s="218"/>
      <c r="AI372" s="218"/>
      <c r="AJ372" s="218"/>
      <c r="AK372" s="218"/>
      <c r="AL372" s="218"/>
      <c r="AM372" s="218"/>
      <c r="AN372" s="218"/>
      <c r="AO372" s="218"/>
    </row>
    <row r="374" spans="1:41" ht="20.25">
      <c r="A374" s="192" t="s">
        <v>1414</v>
      </c>
      <c r="B374" s="193"/>
      <c r="C374" s="193"/>
      <c r="D374" s="193"/>
      <c r="E374" s="193"/>
      <c r="F374" s="193"/>
      <c r="G374" s="193"/>
      <c r="H374" s="193"/>
      <c r="I374" s="193"/>
      <c r="J374" s="193"/>
      <c r="K374" s="194"/>
    </row>
    <row r="375" spans="1:41">
      <c r="A375" s="223" t="s">
        <v>1406</v>
      </c>
      <c r="B375" s="223"/>
      <c r="C375" s="223"/>
      <c r="D375" s="223"/>
      <c r="E375" s="223"/>
      <c r="F375" s="223"/>
      <c r="G375" s="223"/>
      <c r="H375" s="223"/>
      <c r="I375" s="202">
        <v>8.5000000000000006E-2</v>
      </c>
      <c r="J375" s="202"/>
      <c r="K375" s="202"/>
    </row>
    <row r="376" spans="1:41">
      <c r="A376" s="175" t="s">
        <v>1407</v>
      </c>
      <c r="B376" s="175"/>
      <c r="C376" s="175"/>
      <c r="D376" s="175"/>
      <c r="E376" s="175"/>
      <c r="F376" s="175"/>
      <c r="G376" s="175"/>
      <c r="H376" s="175"/>
      <c r="I376" s="118">
        <v>0.12</v>
      </c>
      <c r="J376" s="118"/>
      <c r="K376" s="118"/>
    </row>
    <row r="377" spans="1:41">
      <c r="A377" s="175" t="s">
        <v>1408</v>
      </c>
      <c r="B377" s="175"/>
      <c r="C377" s="175"/>
      <c r="D377" s="175"/>
      <c r="E377" s="175"/>
      <c r="F377" s="175"/>
      <c r="G377" s="175"/>
      <c r="H377" s="175"/>
      <c r="I377" s="118">
        <v>2.4400000000000002E-2</v>
      </c>
      <c r="J377" s="118"/>
      <c r="K377" s="118"/>
    </row>
    <row r="378" spans="1:41">
      <c r="A378" s="175" t="s">
        <v>1409</v>
      </c>
      <c r="B378" s="175"/>
      <c r="C378" s="175"/>
      <c r="D378" s="175"/>
      <c r="E378" s="175"/>
      <c r="F378" s="175"/>
      <c r="G378" s="175"/>
      <c r="H378" s="175"/>
      <c r="I378" s="118">
        <v>8.3299999999999999E-2</v>
      </c>
      <c r="J378" s="118"/>
      <c r="K378" s="118"/>
    </row>
    <row r="379" spans="1:41">
      <c r="A379" s="175" t="s">
        <v>1410</v>
      </c>
      <c r="B379" s="175"/>
      <c r="C379" s="175"/>
      <c r="D379" s="175"/>
      <c r="E379" s="175"/>
      <c r="F379" s="175"/>
      <c r="G379" s="175"/>
      <c r="H379" s="175"/>
      <c r="I379" s="118">
        <v>0.01</v>
      </c>
      <c r="J379" s="118"/>
      <c r="K379" s="118"/>
    </row>
    <row r="380" spans="1:41">
      <c r="A380" s="175" t="s">
        <v>1411</v>
      </c>
      <c r="B380" s="175"/>
      <c r="C380" s="175"/>
      <c r="D380" s="175"/>
      <c r="E380" s="175"/>
      <c r="F380" s="175"/>
      <c r="G380" s="175"/>
      <c r="H380" s="175"/>
      <c r="I380" s="118">
        <v>8.3299999999999999E-2</v>
      </c>
      <c r="J380" s="118"/>
      <c r="K380" s="118"/>
    </row>
    <row r="381" spans="1:41">
      <c r="A381" s="175" t="s">
        <v>1412</v>
      </c>
      <c r="B381" s="175"/>
      <c r="C381" s="175"/>
      <c r="D381" s="175"/>
      <c r="E381" s="175"/>
      <c r="F381" s="175"/>
      <c r="G381" s="175"/>
      <c r="H381" s="175"/>
      <c r="I381" s="118">
        <v>4.1599999999999998E-2</v>
      </c>
      <c r="J381" s="118"/>
      <c r="K381" s="118"/>
    </row>
    <row r="382" spans="1:41">
      <c r="A382" s="175" t="s">
        <v>1413</v>
      </c>
      <c r="B382" s="175"/>
      <c r="C382" s="175"/>
      <c r="D382" s="175"/>
      <c r="E382" s="175"/>
      <c r="F382" s="175"/>
      <c r="G382" s="175"/>
      <c r="H382" s="175"/>
      <c r="I382" s="118">
        <v>0.09</v>
      </c>
      <c r="J382" s="118"/>
      <c r="K382" s="118"/>
    </row>
    <row r="383" spans="1:41" ht="20.25">
      <c r="A383" s="222" t="s">
        <v>78</v>
      </c>
      <c r="B383" s="222"/>
      <c r="C383" s="222"/>
      <c r="D383" s="222"/>
      <c r="E383" s="222"/>
      <c r="F383" s="222"/>
      <c r="G383" s="222"/>
      <c r="H383" s="222"/>
      <c r="I383" s="200">
        <f>SUM(I375:K382)</f>
        <v>0.53759999999999997</v>
      </c>
      <c r="J383" s="201"/>
      <c r="K383" s="201"/>
    </row>
    <row r="386" spans="1:45" ht="20.45" customHeight="1">
      <c r="A386" s="103" t="s">
        <v>1461</v>
      </c>
      <c r="B386" s="103"/>
      <c r="C386" s="103"/>
      <c r="D386" s="103"/>
      <c r="E386" s="103"/>
      <c r="F386" s="103"/>
      <c r="G386" s="103"/>
      <c r="H386" s="103"/>
      <c r="I386" s="103"/>
      <c r="J386" s="103"/>
      <c r="K386" s="103"/>
      <c r="L386" s="103"/>
      <c r="M386" s="103"/>
      <c r="N386" s="103"/>
      <c r="O386" s="103"/>
      <c r="P386" s="103"/>
      <c r="Q386" s="103"/>
      <c r="R386" s="103"/>
      <c r="S386" s="103"/>
      <c r="T386" s="103"/>
      <c r="U386" s="103"/>
      <c r="V386" s="103"/>
      <c r="W386" s="103"/>
      <c r="X386" s="103"/>
      <c r="Y386" s="103"/>
      <c r="Z386" s="103"/>
      <c r="AA386" s="103"/>
      <c r="AB386" s="103"/>
      <c r="AC386" s="103"/>
      <c r="AD386" s="103"/>
      <c r="AE386" s="103"/>
      <c r="AF386" s="103"/>
      <c r="AG386" s="103"/>
      <c r="AH386" s="103"/>
      <c r="AI386" s="103"/>
      <c r="AJ386" s="103"/>
      <c r="AK386" s="103"/>
      <c r="AL386" s="103"/>
      <c r="AM386" s="103"/>
      <c r="AN386" s="103"/>
      <c r="AO386" s="103"/>
      <c r="AP386" s="103"/>
      <c r="AQ386" s="103"/>
      <c r="AR386" s="62"/>
      <c r="AS386" s="62"/>
    </row>
    <row r="388" spans="1:45" ht="37.5" customHeight="1">
      <c r="A388" s="195" t="s">
        <v>134</v>
      </c>
      <c r="B388" s="196"/>
      <c r="C388" s="196"/>
      <c r="D388" s="196"/>
      <c r="E388" s="196"/>
      <c r="F388" s="197"/>
      <c r="G388" s="133" t="s">
        <v>1193</v>
      </c>
      <c r="H388" s="134"/>
      <c r="I388" s="134"/>
      <c r="J388" s="134"/>
      <c r="K388" s="134"/>
      <c r="L388" s="134"/>
      <c r="M388" s="195" t="s">
        <v>1433</v>
      </c>
      <c r="N388" s="196"/>
      <c r="O388" s="196"/>
      <c r="P388" s="196"/>
      <c r="Q388" s="196"/>
      <c r="R388" s="196"/>
      <c r="S388" s="196"/>
      <c r="T388" s="196"/>
      <c r="U388" s="196"/>
      <c r="V388" s="196"/>
      <c r="W388" s="196"/>
      <c r="X388" s="196"/>
      <c r="Y388" s="196"/>
      <c r="Z388" s="196"/>
      <c r="AA388" s="197"/>
      <c r="AB388" s="133" t="s">
        <v>1468</v>
      </c>
      <c r="AC388" s="134"/>
      <c r="AD388" s="134"/>
      <c r="AE388" s="134"/>
      <c r="AF388" s="134"/>
      <c r="AG388" s="134"/>
      <c r="AH388" s="130" t="s">
        <v>1414</v>
      </c>
      <c r="AI388" s="131"/>
      <c r="AJ388" s="132"/>
      <c r="AK388" s="144" t="s">
        <v>1415</v>
      </c>
      <c r="AL388" s="145"/>
      <c r="AM388" s="145"/>
      <c r="AN388" s="145"/>
      <c r="AO388" s="146"/>
      <c r="AP388" s="147" t="s">
        <v>1452</v>
      </c>
      <c r="AQ388" s="147"/>
      <c r="AR388" s="148"/>
    </row>
    <row r="389" spans="1:45" ht="96.95" customHeight="1">
      <c r="A389" s="165"/>
      <c r="B389" s="125"/>
      <c r="C389" s="125"/>
      <c r="D389" s="125"/>
      <c r="E389" s="125"/>
      <c r="F389" s="126"/>
      <c r="G389" s="165"/>
      <c r="H389" s="125"/>
      <c r="I389" s="125"/>
      <c r="J389" s="125"/>
      <c r="K389" s="125"/>
      <c r="L389" s="125"/>
      <c r="M389" s="166"/>
      <c r="N389" s="167"/>
      <c r="O389" s="167"/>
      <c r="P389" s="167"/>
      <c r="Q389" s="167"/>
      <c r="R389" s="167"/>
      <c r="S389" s="167"/>
      <c r="T389" s="167"/>
      <c r="U389" s="167"/>
      <c r="V389" s="167"/>
      <c r="W389" s="167"/>
      <c r="X389" s="167"/>
      <c r="Y389" s="167"/>
      <c r="Z389" s="167"/>
      <c r="AA389" s="168"/>
      <c r="AB389" s="142"/>
      <c r="AC389" s="143"/>
      <c r="AD389" s="143"/>
      <c r="AE389" s="143"/>
      <c r="AF389" s="143"/>
      <c r="AG389" s="143"/>
      <c r="AH389" s="139"/>
      <c r="AI389" s="140"/>
      <c r="AJ389" s="141"/>
      <c r="AK389" s="127">
        <f>IF(AH389="SI",AB389*(1+$I$383),AB389)</f>
        <v>0</v>
      </c>
      <c r="AL389" s="128"/>
      <c r="AM389" s="128"/>
      <c r="AN389" s="128"/>
      <c r="AO389" s="129"/>
      <c r="AP389" s="125"/>
      <c r="AQ389" s="125"/>
      <c r="AR389" s="126"/>
      <c r="AS389" s="79">
        <f>+IF(AK389&gt;0,1,0)</f>
        <v>0</v>
      </c>
    </row>
    <row r="390" spans="1:45" ht="96.95" customHeight="1">
      <c r="A390" s="165"/>
      <c r="B390" s="125"/>
      <c r="C390" s="125"/>
      <c r="D390" s="125"/>
      <c r="E390" s="125"/>
      <c r="F390" s="126"/>
      <c r="G390" s="165"/>
      <c r="H390" s="125"/>
      <c r="I390" s="125"/>
      <c r="J390" s="125"/>
      <c r="K390" s="125"/>
      <c r="L390" s="125"/>
      <c r="M390" s="166"/>
      <c r="N390" s="167"/>
      <c r="O390" s="167"/>
      <c r="P390" s="167"/>
      <c r="Q390" s="167"/>
      <c r="R390" s="167"/>
      <c r="S390" s="167"/>
      <c r="T390" s="167"/>
      <c r="U390" s="167"/>
      <c r="V390" s="167"/>
      <c r="W390" s="167"/>
      <c r="X390" s="167"/>
      <c r="Y390" s="167"/>
      <c r="Z390" s="167"/>
      <c r="AA390" s="168"/>
      <c r="AB390" s="142"/>
      <c r="AC390" s="143"/>
      <c r="AD390" s="143"/>
      <c r="AE390" s="143"/>
      <c r="AF390" s="143"/>
      <c r="AG390" s="143"/>
      <c r="AH390" s="139"/>
      <c r="AI390" s="140"/>
      <c r="AJ390" s="141"/>
      <c r="AK390" s="127">
        <f>IF(AH390="SI",AB390*(1+$I$383),AB390)</f>
        <v>0</v>
      </c>
      <c r="AL390" s="128"/>
      <c r="AM390" s="128"/>
      <c r="AN390" s="128"/>
      <c r="AO390" s="129"/>
      <c r="AP390" s="125"/>
      <c r="AQ390" s="125"/>
      <c r="AR390" s="126"/>
      <c r="AS390" s="79">
        <f>+IF(AK390&gt;0,1,0)</f>
        <v>0</v>
      </c>
    </row>
    <row r="391" spans="1:45" ht="96.95" customHeight="1">
      <c r="A391" s="165"/>
      <c r="B391" s="125"/>
      <c r="C391" s="125"/>
      <c r="D391" s="125"/>
      <c r="E391" s="125"/>
      <c r="F391" s="126"/>
      <c r="G391" s="165"/>
      <c r="H391" s="125"/>
      <c r="I391" s="125"/>
      <c r="J391" s="125"/>
      <c r="K391" s="125"/>
      <c r="L391" s="125"/>
      <c r="M391" s="166"/>
      <c r="N391" s="167"/>
      <c r="O391" s="167"/>
      <c r="P391" s="167"/>
      <c r="Q391" s="167"/>
      <c r="R391" s="167"/>
      <c r="S391" s="167"/>
      <c r="T391" s="167"/>
      <c r="U391" s="167"/>
      <c r="V391" s="167"/>
      <c r="W391" s="167"/>
      <c r="X391" s="167"/>
      <c r="Y391" s="167"/>
      <c r="Z391" s="167"/>
      <c r="AA391" s="168"/>
      <c r="AB391" s="142"/>
      <c r="AC391" s="143"/>
      <c r="AD391" s="143"/>
      <c r="AE391" s="143"/>
      <c r="AF391" s="143"/>
      <c r="AG391" s="143"/>
      <c r="AH391" s="139"/>
      <c r="AI391" s="140"/>
      <c r="AJ391" s="141"/>
      <c r="AK391" s="127">
        <f>IF(AH391="SI",AB391*(1+$I$383),AB391)</f>
        <v>0</v>
      </c>
      <c r="AL391" s="128"/>
      <c r="AM391" s="128"/>
      <c r="AN391" s="128"/>
      <c r="AO391" s="129"/>
      <c r="AP391" s="125"/>
      <c r="AQ391" s="125"/>
      <c r="AR391" s="126"/>
      <c r="AS391" s="79">
        <f>+IF(AK391&gt;0,1,0)</f>
        <v>0</v>
      </c>
    </row>
    <row r="392" spans="1:45" ht="96.95" customHeight="1">
      <c r="A392" s="165"/>
      <c r="B392" s="125"/>
      <c r="C392" s="125"/>
      <c r="D392" s="125"/>
      <c r="E392" s="125"/>
      <c r="F392" s="126"/>
      <c r="G392" s="165"/>
      <c r="H392" s="125"/>
      <c r="I392" s="125"/>
      <c r="J392" s="125"/>
      <c r="K392" s="125"/>
      <c r="L392" s="125"/>
      <c r="M392" s="166"/>
      <c r="N392" s="167"/>
      <c r="O392" s="167"/>
      <c r="P392" s="167"/>
      <c r="Q392" s="167"/>
      <c r="R392" s="167"/>
      <c r="S392" s="167"/>
      <c r="T392" s="167"/>
      <c r="U392" s="167"/>
      <c r="V392" s="167"/>
      <c r="W392" s="167"/>
      <c r="X392" s="167"/>
      <c r="Y392" s="167"/>
      <c r="Z392" s="167"/>
      <c r="AA392" s="168"/>
      <c r="AB392" s="142"/>
      <c r="AC392" s="143"/>
      <c r="AD392" s="143"/>
      <c r="AE392" s="143"/>
      <c r="AF392" s="143"/>
      <c r="AG392" s="143"/>
      <c r="AH392" s="139"/>
      <c r="AI392" s="140"/>
      <c r="AJ392" s="141"/>
      <c r="AK392" s="127">
        <f>IF(AH392="SI",AB392*(1+$I$383),AB392)</f>
        <v>0</v>
      </c>
      <c r="AL392" s="128"/>
      <c r="AM392" s="128"/>
      <c r="AN392" s="128"/>
      <c r="AO392" s="129"/>
      <c r="AP392" s="125"/>
      <c r="AQ392" s="125"/>
      <c r="AR392" s="126"/>
      <c r="AS392" s="79">
        <f>+IF(AK392&gt;0,1,0)</f>
        <v>0</v>
      </c>
    </row>
    <row r="393" spans="1:45" ht="96.95" customHeight="1">
      <c r="A393" s="165"/>
      <c r="B393" s="125"/>
      <c r="C393" s="125"/>
      <c r="D393" s="125"/>
      <c r="E393" s="125"/>
      <c r="F393" s="126"/>
      <c r="G393" s="165"/>
      <c r="H393" s="125"/>
      <c r="I393" s="125"/>
      <c r="J393" s="125"/>
      <c r="K393" s="125"/>
      <c r="L393" s="125"/>
      <c r="M393" s="166"/>
      <c r="N393" s="167"/>
      <c r="O393" s="167"/>
      <c r="P393" s="167"/>
      <c r="Q393" s="167"/>
      <c r="R393" s="167"/>
      <c r="S393" s="167"/>
      <c r="T393" s="167"/>
      <c r="U393" s="167"/>
      <c r="V393" s="167"/>
      <c r="W393" s="167"/>
      <c r="X393" s="167"/>
      <c r="Y393" s="167"/>
      <c r="Z393" s="167"/>
      <c r="AA393" s="168"/>
      <c r="AB393" s="142"/>
      <c r="AC393" s="143"/>
      <c r="AD393" s="143"/>
      <c r="AE393" s="143"/>
      <c r="AF393" s="143"/>
      <c r="AG393" s="143"/>
      <c r="AH393" s="139"/>
      <c r="AI393" s="140"/>
      <c r="AJ393" s="141"/>
      <c r="AK393" s="127">
        <f>IF(AH393="SI",AB393*(1+$I$383),AB393)</f>
        <v>0</v>
      </c>
      <c r="AL393" s="128"/>
      <c r="AM393" s="128"/>
      <c r="AN393" s="128"/>
      <c r="AO393" s="129"/>
      <c r="AP393" s="125"/>
      <c r="AQ393" s="125"/>
      <c r="AR393" s="126"/>
      <c r="AS393" s="79">
        <f>+IF(AK393&gt;0,1,0)</f>
        <v>0</v>
      </c>
    </row>
    <row r="394" spans="1:45" ht="58.5" customHeight="1">
      <c r="A394" s="119" t="s">
        <v>78</v>
      </c>
      <c r="B394" s="120"/>
      <c r="C394" s="120"/>
      <c r="D394" s="120"/>
      <c r="E394" s="120"/>
      <c r="F394" s="120"/>
      <c r="G394" s="120"/>
      <c r="H394" s="120"/>
      <c r="I394" s="120"/>
      <c r="J394" s="120"/>
      <c r="K394" s="120"/>
      <c r="L394" s="120"/>
      <c r="M394" s="120"/>
      <c r="N394" s="120"/>
      <c r="O394" s="120"/>
      <c r="P394" s="120"/>
      <c r="Q394" s="120"/>
      <c r="R394" s="120"/>
      <c r="S394" s="120"/>
      <c r="T394" s="120"/>
      <c r="U394" s="120"/>
      <c r="V394" s="120"/>
      <c r="W394" s="120"/>
      <c r="X394" s="120"/>
      <c r="Y394" s="120"/>
      <c r="Z394" s="120"/>
      <c r="AA394" s="120"/>
      <c r="AB394" s="120"/>
      <c r="AC394" s="120"/>
      <c r="AD394" s="120"/>
      <c r="AE394" s="120"/>
      <c r="AF394" s="120"/>
      <c r="AG394" s="120"/>
      <c r="AH394" s="120"/>
      <c r="AI394" s="120"/>
      <c r="AJ394" s="121"/>
      <c r="AK394" s="122">
        <f>+SUM(AK389:AO393)</f>
        <v>0</v>
      </c>
      <c r="AL394" s="123"/>
      <c r="AM394" s="123"/>
      <c r="AN394" s="123"/>
      <c r="AO394" s="123"/>
      <c r="AP394" s="123"/>
      <c r="AQ394" s="123"/>
      <c r="AR394" s="124"/>
    </row>
    <row r="395" spans="1:45" ht="32.25" customHeight="1"/>
    <row r="396" spans="1:45" ht="30" customHeight="1">
      <c r="A396" s="169" t="s">
        <v>1386</v>
      </c>
      <c r="B396" s="169"/>
      <c r="C396" s="169"/>
      <c r="D396" s="169"/>
      <c r="E396" s="169"/>
      <c r="F396" s="169"/>
      <c r="G396" s="169"/>
      <c r="H396" s="169"/>
      <c r="I396" s="169"/>
      <c r="J396" s="169"/>
      <c r="K396" s="169"/>
      <c r="L396" s="169"/>
      <c r="M396" s="169"/>
      <c r="N396" s="169"/>
      <c r="O396" s="169"/>
      <c r="P396" s="169"/>
      <c r="Q396" s="169"/>
      <c r="R396" s="169"/>
      <c r="S396" s="169"/>
      <c r="T396" s="169"/>
      <c r="U396" s="169"/>
      <c r="V396" s="169"/>
      <c r="W396" s="169"/>
      <c r="X396" s="169"/>
      <c r="Y396" s="169"/>
      <c r="Z396" s="169"/>
      <c r="AA396" s="169"/>
      <c r="AB396" s="169"/>
      <c r="AC396" s="169"/>
      <c r="AD396" s="169"/>
      <c r="AE396" s="169"/>
      <c r="AF396" s="169"/>
      <c r="AG396" s="169"/>
      <c r="AH396" s="169"/>
      <c r="AI396" s="169"/>
      <c r="AJ396" s="169"/>
      <c r="AK396" s="169"/>
      <c r="AL396" s="169"/>
      <c r="AM396" s="169"/>
      <c r="AN396" s="169"/>
    </row>
    <row r="398" spans="1:45" ht="409.5" customHeight="1">
      <c r="A398" s="246" t="s">
        <v>1425</v>
      </c>
      <c r="B398" s="333"/>
      <c r="C398" s="333"/>
      <c r="D398" s="333"/>
      <c r="E398" s="333"/>
      <c r="F398" s="333"/>
      <c r="G398" s="333"/>
      <c r="H398" s="333"/>
      <c r="I398" s="333"/>
      <c r="J398" s="333"/>
      <c r="K398" s="333"/>
      <c r="L398" s="333"/>
      <c r="M398" s="333"/>
      <c r="N398" s="333"/>
      <c r="O398" s="333"/>
      <c r="P398" s="333"/>
      <c r="Q398" s="333"/>
      <c r="R398" s="333"/>
      <c r="S398" s="333"/>
      <c r="T398" s="333"/>
      <c r="U398" s="333"/>
      <c r="V398" s="333"/>
      <c r="W398" s="333"/>
      <c r="X398" s="333"/>
      <c r="Y398" s="333"/>
      <c r="Z398" s="333"/>
      <c r="AA398" s="333"/>
      <c r="AB398" s="333"/>
      <c r="AC398" s="333"/>
      <c r="AD398" s="333"/>
      <c r="AE398" s="333"/>
      <c r="AF398" s="333"/>
      <c r="AG398" s="333"/>
      <c r="AH398" s="333"/>
      <c r="AI398" s="333"/>
      <c r="AJ398" s="333"/>
      <c r="AK398" s="333"/>
      <c r="AL398" s="333"/>
      <c r="AM398" s="333"/>
      <c r="AN398" s="333"/>
      <c r="AO398" s="333"/>
    </row>
    <row r="399" spans="1:45" ht="53.25" customHeight="1">
      <c r="A399" s="61"/>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c r="AA399" s="56"/>
      <c r="AB399" s="56"/>
      <c r="AC399" s="56"/>
      <c r="AD399" s="56"/>
      <c r="AE399" s="56"/>
      <c r="AF399" s="56"/>
      <c r="AG399" s="56"/>
      <c r="AH399" s="56"/>
      <c r="AI399" s="56"/>
      <c r="AJ399" s="56"/>
      <c r="AK399" s="56"/>
      <c r="AL399" s="56"/>
      <c r="AM399" s="56"/>
      <c r="AN399" s="56"/>
      <c r="AO399" s="56"/>
    </row>
    <row r="400" spans="1:45" ht="26.25" customHeight="1">
      <c r="A400" s="239" t="s">
        <v>1347</v>
      </c>
      <c r="B400" s="240"/>
      <c r="C400" s="240"/>
      <c r="D400" s="240"/>
      <c r="E400" s="240"/>
      <c r="F400" s="240"/>
      <c r="G400" s="240"/>
      <c r="H400" s="240"/>
      <c r="I400" s="240"/>
      <c r="J400" s="240"/>
      <c r="K400" s="240"/>
      <c r="L400" s="240"/>
      <c r="M400" s="240"/>
      <c r="N400" s="240"/>
      <c r="O400" s="240"/>
      <c r="P400" s="240"/>
      <c r="Q400" s="240"/>
      <c r="R400" s="240"/>
      <c r="S400" s="240"/>
      <c r="T400" s="240"/>
      <c r="U400" s="240"/>
      <c r="V400" s="240"/>
      <c r="W400" s="240"/>
      <c r="X400" s="240"/>
      <c r="Y400" s="240"/>
      <c r="Z400" s="240"/>
      <c r="AA400" s="240"/>
      <c r="AB400" s="240"/>
      <c r="AC400" s="240"/>
      <c r="AD400" s="240"/>
      <c r="AE400" s="240"/>
      <c r="AF400" s="240"/>
      <c r="AG400" s="240"/>
      <c r="AH400" s="240"/>
      <c r="AI400" s="240"/>
      <c r="AJ400" s="240"/>
      <c r="AK400" s="240"/>
      <c r="AL400" s="240"/>
      <c r="AM400" s="240"/>
      <c r="AN400" s="240"/>
      <c r="AO400" s="240"/>
      <c r="AP400" s="240"/>
      <c r="AQ400" s="240"/>
      <c r="AR400" s="241"/>
    </row>
    <row r="401" spans="1:48" ht="216.95" customHeight="1">
      <c r="A401" s="224" t="s">
        <v>1351</v>
      </c>
      <c r="B401" s="225"/>
      <c r="C401" s="225"/>
      <c r="D401" s="225"/>
      <c r="E401" s="225"/>
      <c r="F401" s="225"/>
      <c r="G401" s="225"/>
      <c r="H401" s="225"/>
      <c r="I401" s="225"/>
      <c r="J401" s="225"/>
      <c r="K401" s="225"/>
      <c r="L401" s="225"/>
      <c r="M401" s="225"/>
      <c r="N401" s="225"/>
      <c r="O401" s="225"/>
      <c r="P401" s="225"/>
      <c r="Q401" s="225"/>
      <c r="R401" s="225"/>
      <c r="S401" s="225"/>
      <c r="T401" s="225"/>
      <c r="U401" s="225"/>
      <c r="V401" s="225"/>
      <c r="W401" s="225"/>
      <c r="X401" s="225"/>
      <c r="Y401" s="225"/>
      <c r="Z401" s="225"/>
      <c r="AA401" s="225"/>
      <c r="AB401" s="225"/>
      <c r="AC401" s="225"/>
      <c r="AD401" s="225"/>
      <c r="AE401" s="225"/>
      <c r="AF401" s="225"/>
      <c r="AG401" s="225"/>
      <c r="AH401" s="225"/>
      <c r="AI401" s="225"/>
      <c r="AJ401" s="225"/>
      <c r="AK401" s="225"/>
      <c r="AL401" s="225"/>
      <c r="AM401" s="225"/>
      <c r="AN401" s="225"/>
      <c r="AO401" s="225"/>
      <c r="AP401" s="225"/>
      <c r="AQ401" s="225"/>
      <c r="AR401" s="225"/>
    </row>
    <row r="402" spans="1:48" ht="52.5" customHeight="1">
      <c r="A402" s="221" t="s">
        <v>54</v>
      </c>
      <c r="B402" s="221"/>
      <c r="C402" s="221"/>
      <c r="D402" s="221"/>
      <c r="E402" s="221"/>
      <c r="F402" s="221"/>
      <c r="G402" s="221"/>
      <c r="H402" s="221"/>
      <c r="I402" s="221"/>
      <c r="J402" s="221"/>
      <c r="K402" s="221"/>
      <c r="L402" s="221"/>
      <c r="M402" s="221"/>
      <c r="N402" s="221"/>
      <c r="O402" s="221"/>
      <c r="P402" s="221"/>
      <c r="Q402" s="221"/>
      <c r="R402" s="221"/>
      <c r="S402" s="221"/>
      <c r="T402" s="221" t="s">
        <v>75</v>
      </c>
      <c r="U402" s="221"/>
      <c r="V402" s="221"/>
      <c r="W402" s="221"/>
      <c r="X402" s="221"/>
      <c r="Y402" s="221"/>
      <c r="Z402" s="221"/>
      <c r="AA402" s="220" t="s">
        <v>76</v>
      </c>
      <c r="AB402" s="220"/>
      <c r="AC402" s="220"/>
      <c r="AD402" s="221" t="s">
        <v>77</v>
      </c>
      <c r="AE402" s="221"/>
      <c r="AF402" s="221"/>
      <c r="AG402" s="221"/>
      <c r="AH402" s="221"/>
      <c r="AI402" s="221"/>
      <c r="AJ402" s="221"/>
      <c r="AK402" s="221"/>
      <c r="AL402" s="221"/>
      <c r="AM402" s="226" t="s">
        <v>1348</v>
      </c>
      <c r="AN402" s="226"/>
      <c r="AO402" s="227" t="s">
        <v>1349</v>
      </c>
      <c r="AP402" s="227"/>
      <c r="AQ402" s="227"/>
      <c r="AR402" s="227"/>
      <c r="AS402" s="67"/>
      <c r="AT402" s="67"/>
      <c r="AU402" s="67"/>
      <c r="AV402" s="67"/>
    </row>
    <row r="403" spans="1:48" ht="39.950000000000003" customHeight="1">
      <c r="A403" s="158"/>
      <c r="B403" s="159"/>
      <c r="C403" s="159"/>
      <c r="D403" s="159"/>
      <c r="E403" s="159"/>
      <c r="F403" s="159"/>
      <c r="G403" s="159"/>
      <c r="H403" s="159"/>
      <c r="I403" s="159"/>
      <c r="J403" s="159"/>
      <c r="K403" s="159"/>
      <c r="L403" s="159"/>
      <c r="M403" s="159"/>
      <c r="N403" s="159"/>
      <c r="O403" s="159"/>
      <c r="P403" s="159"/>
      <c r="Q403" s="159"/>
      <c r="R403" s="159"/>
      <c r="S403" s="160"/>
      <c r="T403" s="161"/>
      <c r="U403" s="161"/>
      <c r="V403" s="161"/>
      <c r="W403" s="161"/>
      <c r="X403" s="161"/>
      <c r="Y403" s="161"/>
      <c r="Z403" s="161"/>
      <c r="AA403" s="236"/>
      <c r="AB403" s="237"/>
      <c r="AC403" s="238"/>
      <c r="AD403" s="155">
        <f>+T403*AA403</f>
        <v>0</v>
      </c>
      <c r="AE403" s="156"/>
      <c r="AF403" s="156"/>
      <c r="AG403" s="156"/>
      <c r="AH403" s="156"/>
      <c r="AI403" s="156"/>
      <c r="AJ403" s="156"/>
      <c r="AK403" s="156"/>
      <c r="AL403" s="157"/>
      <c r="AM403" s="242"/>
      <c r="AN403" s="243"/>
      <c r="AO403" s="242"/>
      <c r="AP403" s="244"/>
      <c r="AQ403" s="244"/>
      <c r="AR403" s="243"/>
    </row>
    <row r="404" spans="1:48" ht="39.950000000000003" customHeight="1">
      <c r="A404" s="149"/>
      <c r="B404" s="150"/>
      <c r="C404" s="150"/>
      <c r="D404" s="150"/>
      <c r="E404" s="150"/>
      <c r="F404" s="150"/>
      <c r="G404" s="150"/>
      <c r="H404" s="150"/>
      <c r="I404" s="150"/>
      <c r="J404" s="150"/>
      <c r="K404" s="150"/>
      <c r="L404" s="150"/>
      <c r="M404" s="150"/>
      <c r="N404" s="150"/>
      <c r="O404" s="150"/>
      <c r="P404" s="150"/>
      <c r="Q404" s="150"/>
      <c r="R404" s="150"/>
      <c r="S404" s="151"/>
      <c r="T404" s="161"/>
      <c r="U404" s="161"/>
      <c r="V404" s="161"/>
      <c r="W404" s="161"/>
      <c r="X404" s="161"/>
      <c r="Y404" s="161"/>
      <c r="Z404" s="161"/>
      <c r="AA404" s="152"/>
      <c r="AB404" s="153"/>
      <c r="AC404" s="154"/>
      <c r="AD404" s="155">
        <f t="shared" ref="AD404:AD412" si="13">+T404*AA404</f>
        <v>0</v>
      </c>
      <c r="AE404" s="156"/>
      <c r="AF404" s="156"/>
      <c r="AG404" s="156"/>
      <c r="AH404" s="156"/>
      <c r="AI404" s="156"/>
      <c r="AJ404" s="156"/>
      <c r="AK404" s="156"/>
      <c r="AL404" s="157"/>
      <c r="AM404" s="228"/>
      <c r="AN404" s="230"/>
      <c r="AO404" s="228"/>
      <c r="AP404" s="229"/>
      <c r="AQ404" s="229"/>
      <c r="AR404" s="230"/>
    </row>
    <row r="405" spans="1:48" ht="39.950000000000003" customHeight="1">
      <c r="A405" s="162"/>
      <c r="B405" s="163"/>
      <c r="C405" s="163"/>
      <c r="D405" s="163"/>
      <c r="E405" s="163"/>
      <c r="F405" s="163"/>
      <c r="G405" s="163"/>
      <c r="H405" s="163"/>
      <c r="I405" s="163"/>
      <c r="J405" s="163"/>
      <c r="K405" s="163"/>
      <c r="L405" s="163"/>
      <c r="M405" s="163"/>
      <c r="N405" s="163"/>
      <c r="O405" s="163"/>
      <c r="P405" s="163"/>
      <c r="Q405" s="163"/>
      <c r="R405" s="163"/>
      <c r="S405" s="164"/>
      <c r="T405" s="219"/>
      <c r="U405" s="219"/>
      <c r="V405" s="219"/>
      <c r="W405" s="219"/>
      <c r="X405" s="219"/>
      <c r="Y405" s="219"/>
      <c r="Z405" s="219"/>
      <c r="AA405" s="231"/>
      <c r="AB405" s="232"/>
      <c r="AC405" s="233"/>
      <c r="AD405" s="155">
        <f t="shared" si="13"/>
        <v>0</v>
      </c>
      <c r="AE405" s="156"/>
      <c r="AF405" s="156"/>
      <c r="AG405" s="156"/>
      <c r="AH405" s="156"/>
      <c r="AI405" s="156"/>
      <c r="AJ405" s="156"/>
      <c r="AK405" s="156"/>
      <c r="AL405" s="157"/>
      <c r="AM405" s="234"/>
      <c r="AN405" s="235"/>
      <c r="AO405" s="234"/>
      <c r="AP405" s="245"/>
      <c r="AQ405" s="245"/>
      <c r="AR405" s="235"/>
    </row>
    <row r="406" spans="1:48" ht="39.75" customHeight="1">
      <c r="A406" s="149"/>
      <c r="B406" s="150"/>
      <c r="C406" s="150"/>
      <c r="D406" s="150"/>
      <c r="E406" s="150"/>
      <c r="F406" s="150"/>
      <c r="G406" s="150"/>
      <c r="H406" s="150"/>
      <c r="I406" s="150"/>
      <c r="J406" s="150"/>
      <c r="K406" s="150"/>
      <c r="L406" s="150"/>
      <c r="M406" s="150"/>
      <c r="N406" s="150"/>
      <c r="O406" s="150"/>
      <c r="P406" s="150"/>
      <c r="Q406" s="150"/>
      <c r="R406" s="150"/>
      <c r="S406" s="151"/>
      <c r="T406" s="137"/>
      <c r="U406" s="137"/>
      <c r="V406" s="137"/>
      <c r="W406" s="137"/>
      <c r="X406" s="137"/>
      <c r="Y406" s="137"/>
      <c r="Z406" s="137"/>
      <c r="AA406" s="152"/>
      <c r="AB406" s="153"/>
      <c r="AC406" s="154"/>
      <c r="AD406" s="155">
        <f t="shared" si="13"/>
        <v>0</v>
      </c>
      <c r="AE406" s="156"/>
      <c r="AF406" s="156"/>
      <c r="AG406" s="156"/>
      <c r="AH406" s="156"/>
      <c r="AI406" s="156"/>
      <c r="AJ406" s="156"/>
      <c r="AK406" s="156"/>
      <c r="AL406" s="157"/>
      <c r="AM406" s="228"/>
      <c r="AN406" s="230"/>
      <c r="AO406" s="228"/>
      <c r="AP406" s="229"/>
      <c r="AQ406" s="229"/>
      <c r="AR406" s="230"/>
      <c r="AS406" s="67"/>
      <c r="AT406" s="67"/>
      <c r="AU406" s="67"/>
      <c r="AV406" s="67"/>
    </row>
    <row r="407" spans="1:48" ht="39.75" customHeight="1">
      <c r="A407" s="149"/>
      <c r="B407" s="150"/>
      <c r="C407" s="150"/>
      <c r="D407" s="150"/>
      <c r="E407" s="150"/>
      <c r="F407" s="150"/>
      <c r="G407" s="150"/>
      <c r="H407" s="150"/>
      <c r="I407" s="150"/>
      <c r="J407" s="150"/>
      <c r="K407" s="150"/>
      <c r="L407" s="150"/>
      <c r="M407" s="150"/>
      <c r="N407" s="150"/>
      <c r="O407" s="150"/>
      <c r="P407" s="150"/>
      <c r="Q407" s="150"/>
      <c r="R407" s="150"/>
      <c r="S407" s="151"/>
      <c r="T407" s="137"/>
      <c r="U407" s="137"/>
      <c r="V407" s="137"/>
      <c r="W407" s="137"/>
      <c r="X407" s="137"/>
      <c r="Y407" s="137"/>
      <c r="Z407" s="137"/>
      <c r="AA407" s="152"/>
      <c r="AB407" s="153"/>
      <c r="AC407" s="154"/>
      <c r="AD407" s="155">
        <f t="shared" si="13"/>
        <v>0</v>
      </c>
      <c r="AE407" s="156"/>
      <c r="AF407" s="156"/>
      <c r="AG407" s="156"/>
      <c r="AH407" s="156"/>
      <c r="AI407" s="156"/>
      <c r="AJ407" s="156"/>
      <c r="AK407" s="156"/>
      <c r="AL407" s="157"/>
      <c r="AM407" s="228"/>
      <c r="AN407" s="230"/>
      <c r="AO407" s="228"/>
      <c r="AP407" s="229"/>
      <c r="AQ407" s="229"/>
      <c r="AR407" s="230"/>
      <c r="AS407" s="67"/>
      <c r="AT407" s="67"/>
      <c r="AU407" s="67"/>
      <c r="AV407" s="67"/>
    </row>
    <row r="408" spans="1:48" ht="39.75" customHeight="1">
      <c r="A408" s="149"/>
      <c r="B408" s="150"/>
      <c r="C408" s="150"/>
      <c r="D408" s="150"/>
      <c r="E408" s="150"/>
      <c r="F408" s="150"/>
      <c r="G408" s="150"/>
      <c r="H408" s="150"/>
      <c r="I408" s="150"/>
      <c r="J408" s="150"/>
      <c r="K408" s="150"/>
      <c r="L408" s="150"/>
      <c r="M408" s="150"/>
      <c r="N408" s="150"/>
      <c r="O408" s="150"/>
      <c r="P408" s="150"/>
      <c r="Q408" s="150"/>
      <c r="R408" s="150"/>
      <c r="S408" s="151"/>
      <c r="T408" s="137"/>
      <c r="U408" s="137"/>
      <c r="V408" s="137"/>
      <c r="W408" s="137"/>
      <c r="X408" s="137"/>
      <c r="Y408" s="137"/>
      <c r="Z408" s="137"/>
      <c r="AA408" s="152"/>
      <c r="AB408" s="153"/>
      <c r="AC408" s="154"/>
      <c r="AD408" s="155">
        <f t="shared" si="13"/>
        <v>0</v>
      </c>
      <c r="AE408" s="156"/>
      <c r="AF408" s="156"/>
      <c r="AG408" s="156"/>
      <c r="AH408" s="156"/>
      <c r="AI408" s="156"/>
      <c r="AJ408" s="156"/>
      <c r="AK408" s="156"/>
      <c r="AL408" s="157"/>
      <c r="AM408" s="228"/>
      <c r="AN408" s="230"/>
      <c r="AO408" s="228"/>
      <c r="AP408" s="229"/>
      <c r="AQ408" s="229"/>
      <c r="AR408" s="230"/>
      <c r="AS408" s="67"/>
      <c r="AT408" s="67"/>
      <c r="AU408" s="67"/>
      <c r="AV408" s="67"/>
    </row>
    <row r="409" spans="1:48" ht="39.75" customHeight="1">
      <c r="A409" s="149"/>
      <c r="B409" s="150"/>
      <c r="C409" s="150"/>
      <c r="D409" s="150"/>
      <c r="E409" s="150"/>
      <c r="F409" s="150"/>
      <c r="G409" s="150"/>
      <c r="H409" s="150"/>
      <c r="I409" s="150"/>
      <c r="J409" s="150"/>
      <c r="K409" s="150"/>
      <c r="L409" s="150"/>
      <c r="M409" s="150"/>
      <c r="N409" s="150"/>
      <c r="O409" s="150"/>
      <c r="P409" s="150"/>
      <c r="Q409" s="150"/>
      <c r="R409" s="150"/>
      <c r="S409" s="151"/>
      <c r="T409" s="137"/>
      <c r="U409" s="137"/>
      <c r="V409" s="137"/>
      <c r="W409" s="137"/>
      <c r="X409" s="137"/>
      <c r="Y409" s="137"/>
      <c r="Z409" s="137"/>
      <c r="AA409" s="152"/>
      <c r="AB409" s="153"/>
      <c r="AC409" s="154"/>
      <c r="AD409" s="155">
        <f t="shared" si="13"/>
        <v>0</v>
      </c>
      <c r="AE409" s="156"/>
      <c r="AF409" s="156"/>
      <c r="AG409" s="156"/>
      <c r="AH409" s="156"/>
      <c r="AI409" s="156"/>
      <c r="AJ409" s="156"/>
      <c r="AK409" s="156"/>
      <c r="AL409" s="157"/>
      <c r="AM409" s="228"/>
      <c r="AN409" s="230"/>
      <c r="AO409" s="228"/>
      <c r="AP409" s="229"/>
      <c r="AQ409" s="229"/>
      <c r="AR409" s="230"/>
      <c r="AS409" s="67"/>
      <c r="AT409" s="67"/>
      <c r="AU409" s="67"/>
      <c r="AV409" s="67"/>
    </row>
    <row r="410" spans="1:48" ht="39.75" customHeight="1">
      <c r="A410" s="149"/>
      <c r="B410" s="150"/>
      <c r="C410" s="150"/>
      <c r="D410" s="150"/>
      <c r="E410" s="150"/>
      <c r="F410" s="150"/>
      <c r="G410" s="150"/>
      <c r="H410" s="150"/>
      <c r="I410" s="150"/>
      <c r="J410" s="150"/>
      <c r="K410" s="150"/>
      <c r="L410" s="150"/>
      <c r="M410" s="150"/>
      <c r="N410" s="150"/>
      <c r="O410" s="150"/>
      <c r="P410" s="150"/>
      <c r="Q410" s="150"/>
      <c r="R410" s="150"/>
      <c r="S410" s="151"/>
      <c r="T410" s="137"/>
      <c r="U410" s="137"/>
      <c r="V410" s="137"/>
      <c r="W410" s="137"/>
      <c r="X410" s="137"/>
      <c r="Y410" s="137"/>
      <c r="Z410" s="137"/>
      <c r="AA410" s="152"/>
      <c r="AB410" s="153"/>
      <c r="AC410" s="154"/>
      <c r="AD410" s="155">
        <f t="shared" si="13"/>
        <v>0</v>
      </c>
      <c r="AE410" s="156"/>
      <c r="AF410" s="156"/>
      <c r="AG410" s="156"/>
      <c r="AH410" s="156"/>
      <c r="AI410" s="156"/>
      <c r="AJ410" s="156"/>
      <c r="AK410" s="156"/>
      <c r="AL410" s="157"/>
      <c r="AM410" s="228"/>
      <c r="AN410" s="230"/>
      <c r="AO410" s="228"/>
      <c r="AP410" s="229"/>
      <c r="AQ410" s="229"/>
      <c r="AR410" s="230"/>
    </row>
    <row r="411" spans="1:48" ht="39.950000000000003" customHeight="1">
      <c r="A411" s="136"/>
      <c r="B411" s="136"/>
      <c r="C411" s="136"/>
      <c r="D411" s="136"/>
      <c r="E411" s="136"/>
      <c r="F411" s="136"/>
      <c r="G411" s="136"/>
      <c r="H411" s="136"/>
      <c r="I411" s="136"/>
      <c r="J411" s="136"/>
      <c r="K411" s="136"/>
      <c r="L411" s="136"/>
      <c r="M411" s="136"/>
      <c r="N411" s="136"/>
      <c r="O411" s="136"/>
      <c r="P411" s="136"/>
      <c r="Q411" s="136"/>
      <c r="R411" s="136"/>
      <c r="S411" s="136"/>
      <c r="T411" s="137"/>
      <c r="U411" s="137"/>
      <c r="V411" s="137"/>
      <c r="W411" s="137"/>
      <c r="X411" s="137"/>
      <c r="Y411" s="137"/>
      <c r="Z411" s="137"/>
      <c r="AA411" s="187"/>
      <c r="AB411" s="187"/>
      <c r="AC411" s="187"/>
      <c r="AD411" s="155">
        <f t="shared" si="13"/>
        <v>0</v>
      </c>
      <c r="AE411" s="156"/>
      <c r="AF411" s="156"/>
      <c r="AG411" s="156"/>
      <c r="AH411" s="156"/>
      <c r="AI411" s="156"/>
      <c r="AJ411" s="156"/>
      <c r="AK411" s="156"/>
      <c r="AL411" s="157"/>
      <c r="AM411" s="137"/>
      <c r="AN411" s="137"/>
      <c r="AO411" s="137"/>
      <c r="AP411" s="137"/>
      <c r="AQ411" s="137"/>
      <c r="AR411" s="137"/>
    </row>
    <row r="412" spans="1:48" ht="39.950000000000003" customHeight="1">
      <c r="A412" s="136"/>
      <c r="B412" s="136"/>
      <c r="C412" s="136"/>
      <c r="D412" s="136"/>
      <c r="E412" s="136"/>
      <c r="F412" s="136"/>
      <c r="G412" s="136"/>
      <c r="H412" s="136"/>
      <c r="I412" s="136"/>
      <c r="J412" s="136"/>
      <c r="K412" s="136"/>
      <c r="L412" s="136"/>
      <c r="M412" s="136"/>
      <c r="N412" s="136"/>
      <c r="O412" s="136"/>
      <c r="P412" s="136"/>
      <c r="Q412" s="136"/>
      <c r="R412" s="136"/>
      <c r="S412" s="136"/>
      <c r="T412" s="137"/>
      <c r="U412" s="137"/>
      <c r="V412" s="137"/>
      <c r="W412" s="137"/>
      <c r="X412" s="137"/>
      <c r="Y412" s="137"/>
      <c r="Z412" s="137"/>
      <c r="AA412" s="187"/>
      <c r="AB412" s="187"/>
      <c r="AC412" s="187"/>
      <c r="AD412" s="155">
        <f t="shared" si="13"/>
        <v>0</v>
      </c>
      <c r="AE412" s="156"/>
      <c r="AF412" s="156"/>
      <c r="AG412" s="156"/>
      <c r="AH412" s="156"/>
      <c r="AI412" s="156"/>
      <c r="AJ412" s="156"/>
      <c r="AK412" s="156"/>
      <c r="AL412" s="157"/>
      <c r="AM412" s="137"/>
      <c r="AN412" s="137"/>
      <c r="AO412" s="137"/>
      <c r="AP412" s="137"/>
      <c r="AQ412" s="137"/>
      <c r="AR412" s="137"/>
    </row>
    <row r="413" spans="1:48" ht="39.950000000000003" customHeight="1">
      <c r="A413" s="136"/>
      <c r="B413" s="136"/>
      <c r="C413" s="136"/>
      <c r="D413" s="136"/>
      <c r="E413" s="136"/>
      <c r="F413" s="136"/>
      <c r="G413" s="136"/>
      <c r="H413" s="136"/>
      <c r="I413" s="136"/>
      <c r="J413" s="136"/>
      <c r="K413" s="136"/>
      <c r="L413" s="136"/>
      <c r="M413" s="136"/>
      <c r="N413" s="136"/>
      <c r="O413" s="136"/>
      <c r="P413" s="136"/>
      <c r="Q413" s="136"/>
      <c r="R413" s="136"/>
      <c r="S413" s="136"/>
      <c r="T413" s="137"/>
      <c r="U413" s="137"/>
      <c r="V413" s="137"/>
      <c r="W413" s="137"/>
      <c r="X413" s="137"/>
      <c r="Y413" s="137"/>
      <c r="Z413" s="137"/>
      <c r="AA413" s="187"/>
      <c r="AB413" s="187"/>
      <c r="AC413" s="187"/>
      <c r="AD413" s="155">
        <f t="shared" ref="AD413:AD422" si="14">+T413*AA413</f>
        <v>0</v>
      </c>
      <c r="AE413" s="156"/>
      <c r="AF413" s="156"/>
      <c r="AG413" s="156"/>
      <c r="AH413" s="156"/>
      <c r="AI413" s="156"/>
      <c r="AJ413" s="156"/>
      <c r="AK413" s="156"/>
      <c r="AL413" s="157"/>
      <c r="AM413" s="137"/>
      <c r="AN413" s="137"/>
      <c r="AO413" s="137"/>
      <c r="AP413" s="137"/>
      <c r="AQ413" s="137"/>
      <c r="AR413" s="137"/>
    </row>
    <row r="414" spans="1:48" ht="39.950000000000003" customHeight="1">
      <c r="A414" s="136"/>
      <c r="B414" s="136"/>
      <c r="C414" s="136"/>
      <c r="D414" s="136"/>
      <c r="E414" s="136"/>
      <c r="F414" s="136"/>
      <c r="G414" s="136"/>
      <c r="H414" s="136"/>
      <c r="I414" s="136"/>
      <c r="J414" s="136"/>
      <c r="K414" s="136"/>
      <c r="L414" s="136"/>
      <c r="M414" s="136"/>
      <c r="N414" s="136"/>
      <c r="O414" s="136"/>
      <c r="P414" s="136"/>
      <c r="Q414" s="136"/>
      <c r="R414" s="136"/>
      <c r="S414" s="136"/>
      <c r="T414" s="137"/>
      <c r="U414" s="137"/>
      <c r="V414" s="137"/>
      <c r="W414" s="137"/>
      <c r="X414" s="137"/>
      <c r="Y414" s="137"/>
      <c r="Z414" s="137"/>
      <c r="AA414" s="187"/>
      <c r="AB414" s="187"/>
      <c r="AC414" s="187"/>
      <c r="AD414" s="155">
        <f t="shared" si="14"/>
        <v>0</v>
      </c>
      <c r="AE414" s="156"/>
      <c r="AF414" s="156"/>
      <c r="AG414" s="156"/>
      <c r="AH414" s="156"/>
      <c r="AI414" s="156"/>
      <c r="AJ414" s="156"/>
      <c r="AK414" s="156"/>
      <c r="AL414" s="157"/>
      <c r="AM414" s="137"/>
      <c r="AN414" s="137"/>
      <c r="AO414" s="137"/>
      <c r="AP414" s="137"/>
      <c r="AQ414" s="137"/>
      <c r="AR414" s="137"/>
    </row>
    <row r="415" spans="1:48" ht="39.950000000000003" customHeight="1">
      <c r="A415" s="136"/>
      <c r="B415" s="136"/>
      <c r="C415" s="136"/>
      <c r="D415" s="136"/>
      <c r="E415" s="136"/>
      <c r="F415" s="136"/>
      <c r="G415" s="136"/>
      <c r="H415" s="136"/>
      <c r="I415" s="136"/>
      <c r="J415" s="136"/>
      <c r="K415" s="136"/>
      <c r="L415" s="136"/>
      <c r="M415" s="136"/>
      <c r="N415" s="136"/>
      <c r="O415" s="136"/>
      <c r="P415" s="136"/>
      <c r="Q415" s="136"/>
      <c r="R415" s="136"/>
      <c r="S415" s="136"/>
      <c r="T415" s="137"/>
      <c r="U415" s="137"/>
      <c r="V415" s="137"/>
      <c r="W415" s="137"/>
      <c r="X415" s="137"/>
      <c r="Y415" s="137"/>
      <c r="Z415" s="137"/>
      <c r="AA415" s="187"/>
      <c r="AB415" s="187"/>
      <c r="AC415" s="187"/>
      <c r="AD415" s="155">
        <f t="shared" si="14"/>
        <v>0</v>
      </c>
      <c r="AE415" s="156"/>
      <c r="AF415" s="156"/>
      <c r="AG415" s="156"/>
      <c r="AH415" s="156"/>
      <c r="AI415" s="156"/>
      <c r="AJ415" s="156"/>
      <c r="AK415" s="156"/>
      <c r="AL415" s="157"/>
      <c r="AM415" s="137"/>
      <c r="AN415" s="137"/>
      <c r="AO415" s="137"/>
      <c r="AP415" s="137"/>
      <c r="AQ415" s="137"/>
      <c r="AR415" s="137"/>
    </row>
    <row r="416" spans="1:48" ht="39.950000000000003" customHeight="1">
      <c r="A416" s="136"/>
      <c r="B416" s="136"/>
      <c r="C416" s="136"/>
      <c r="D416" s="136"/>
      <c r="E416" s="136"/>
      <c r="F416" s="136"/>
      <c r="G416" s="136"/>
      <c r="H416" s="136"/>
      <c r="I416" s="136"/>
      <c r="J416" s="136"/>
      <c r="K416" s="136"/>
      <c r="L416" s="136"/>
      <c r="M416" s="136"/>
      <c r="N416" s="136"/>
      <c r="O416" s="136"/>
      <c r="P416" s="136"/>
      <c r="Q416" s="136"/>
      <c r="R416" s="136"/>
      <c r="S416" s="136"/>
      <c r="T416" s="137"/>
      <c r="U416" s="137"/>
      <c r="V416" s="137"/>
      <c r="W416" s="137"/>
      <c r="X416" s="137"/>
      <c r="Y416" s="137"/>
      <c r="Z416" s="137"/>
      <c r="AA416" s="187"/>
      <c r="AB416" s="187"/>
      <c r="AC416" s="187"/>
      <c r="AD416" s="155">
        <f t="shared" si="14"/>
        <v>0</v>
      </c>
      <c r="AE416" s="156"/>
      <c r="AF416" s="156"/>
      <c r="AG416" s="156"/>
      <c r="AH416" s="156"/>
      <c r="AI416" s="156"/>
      <c r="AJ416" s="156"/>
      <c r="AK416" s="156"/>
      <c r="AL416" s="157"/>
      <c r="AM416" s="137"/>
      <c r="AN416" s="137"/>
      <c r="AO416" s="137"/>
      <c r="AP416" s="137"/>
      <c r="AQ416" s="137"/>
      <c r="AR416" s="137"/>
    </row>
    <row r="417" spans="1:44" ht="39.950000000000003" customHeight="1">
      <c r="A417" s="136"/>
      <c r="B417" s="136"/>
      <c r="C417" s="136"/>
      <c r="D417" s="136"/>
      <c r="E417" s="136"/>
      <c r="F417" s="136"/>
      <c r="G417" s="136"/>
      <c r="H417" s="136"/>
      <c r="I417" s="136"/>
      <c r="J417" s="136"/>
      <c r="K417" s="136"/>
      <c r="L417" s="136"/>
      <c r="M417" s="136"/>
      <c r="N417" s="136"/>
      <c r="O417" s="136"/>
      <c r="P417" s="136"/>
      <c r="Q417" s="136"/>
      <c r="R417" s="136"/>
      <c r="S417" s="136"/>
      <c r="T417" s="137"/>
      <c r="U417" s="137"/>
      <c r="V417" s="137"/>
      <c r="W417" s="137"/>
      <c r="X417" s="137"/>
      <c r="Y417" s="137"/>
      <c r="Z417" s="137"/>
      <c r="AA417" s="187"/>
      <c r="AB417" s="187"/>
      <c r="AC417" s="187"/>
      <c r="AD417" s="155">
        <f t="shared" si="14"/>
        <v>0</v>
      </c>
      <c r="AE417" s="156"/>
      <c r="AF417" s="156"/>
      <c r="AG417" s="156"/>
      <c r="AH417" s="156"/>
      <c r="AI417" s="156"/>
      <c r="AJ417" s="156"/>
      <c r="AK417" s="156"/>
      <c r="AL417" s="157"/>
      <c r="AM417" s="137"/>
      <c r="AN417" s="137"/>
      <c r="AO417" s="137"/>
      <c r="AP417" s="137"/>
      <c r="AQ417" s="137"/>
      <c r="AR417" s="137"/>
    </row>
    <row r="418" spans="1:44" ht="39.950000000000003" customHeight="1">
      <c r="A418" s="136"/>
      <c r="B418" s="136"/>
      <c r="C418" s="136"/>
      <c r="D418" s="136"/>
      <c r="E418" s="136"/>
      <c r="F418" s="136"/>
      <c r="G418" s="136"/>
      <c r="H418" s="136"/>
      <c r="I418" s="136"/>
      <c r="J418" s="136"/>
      <c r="K418" s="136"/>
      <c r="L418" s="136"/>
      <c r="M418" s="136"/>
      <c r="N418" s="136"/>
      <c r="O418" s="136"/>
      <c r="P418" s="136"/>
      <c r="Q418" s="136"/>
      <c r="R418" s="136"/>
      <c r="S418" s="136"/>
      <c r="T418" s="137"/>
      <c r="U418" s="137"/>
      <c r="V418" s="137"/>
      <c r="W418" s="137"/>
      <c r="X418" s="137"/>
      <c r="Y418" s="137"/>
      <c r="Z418" s="137"/>
      <c r="AA418" s="187"/>
      <c r="AB418" s="187"/>
      <c r="AC418" s="187"/>
      <c r="AD418" s="155">
        <f t="shared" si="14"/>
        <v>0</v>
      </c>
      <c r="AE418" s="156"/>
      <c r="AF418" s="156"/>
      <c r="AG418" s="156"/>
      <c r="AH418" s="156"/>
      <c r="AI418" s="156"/>
      <c r="AJ418" s="156"/>
      <c r="AK418" s="156"/>
      <c r="AL418" s="157"/>
      <c r="AM418" s="137"/>
      <c r="AN418" s="137"/>
      <c r="AO418" s="137"/>
      <c r="AP418" s="137"/>
      <c r="AQ418" s="137"/>
      <c r="AR418" s="137"/>
    </row>
    <row r="419" spans="1:44" ht="39.950000000000003" customHeight="1">
      <c r="A419" s="136"/>
      <c r="B419" s="136"/>
      <c r="C419" s="136"/>
      <c r="D419" s="136"/>
      <c r="E419" s="136"/>
      <c r="F419" s="136"/>
      <c r="G419" s="136"/>
      <c r="H419" s="136"/>
      <c r="I419" s="136"/>
      <c r="J419" s="136"/>
      <c r="K419" s="136"/>
      <c r="L419" s="136"/>
      <c r="M419" s="136"/>
      <c r="N419" s="136"/>
      <c r="O419" s="136"/>
      <c r="P419" s="136"/>
      <c r="Q419" s="136"/>
      <c r="R419" s="136"/>
      <c r="S419" s="136"/>
      <c r="T419" s="137"/>
      <c r="U419" s="137"/>
      <c r="V419" s="137"/>
      <c r="W419" s="137"/>
      <c r="X419" s="137"/>
      <c r="Y419" s="137"/>
      <c r="Z419" s="137"/>
      <c r="AA419" s="187"/>
      <c r="AB419" s="187"/>
      <c r="AC419" s="187"/>
      <c r="AD419" s="155">
        <f t="shared" si="14"/>
        <v>0</v>
      </c>
      <c r="AE419" s="156"/>
      <c r="AF419" s="156"/>
      <c r="AG419" s="156"/>
      <c r="AH419" s="156"/>
      <c r="AI419" s="156"/>
      <c r="AJ419" s="156"/>
      <c r="AK419" s="156"/>
      <c r="AL419" s="157"/>
      <c r="AM419" s="137"/>
      <c r="AN419" s="137"/>
      <c r="AO419" s="137"/>
      <c r="AP419" s="137"/>
      <c r="AQ419" s="137"/>
      <c r="AR419" s="137"/>
    </row>
    <row r="420" spans="1:44" ht="39.950000000000003" customHeight="1">
      <c r="A420" s="136"/>
      <c r="B420" s="136"/>
      <c r="C420" s="136"/>
      <c r="D420" s="136"/>
      <c r="E420" s="136"/>
      <c r="F420" s="136"/>
      <c r="G420" s="136"/>
      <c r="H420" s="136"/>
      <c r="I420" s="136"/>
      <c r="J420" s="136"/>
      <c r="K420" s="136"/>
      <c r="L420" s="136"/>
      <c r="M420" s="136"/>
      <c r="N420" s="136"/>
      <c r="O420" s="136"/>
      <c r="P420" s="136"/>
      <c r="Q420" s="136"/>
      <c r="R420" s="136"/>
      <c r="S420" s="136"/>
      <c r="T420" s="137"/>
      <c r="U420" s="137"/>
      <c r="V420" s="137"/>
      <c r="W420" s="137"/>
      <c r="X420" s="137"/>
      <c r="Y420" s="137"/>
      <c r="Z420" s="137"/>
      <c r="AA420" s="187"/>
      <c r="AB420" s="187"/>
      <c r="AC420" s="187"/>
      <c r="AD420" s="155">
        <f t="shared" si="14"/>
        <v>0</v>
      </c>
      <c r="AE420" s="156"/>
      <c r="AF420" s="156"/>
      <c r="AG420" s="156"/>
      <c r="AH420" s="156"/>
      <c r="AI420" s="156"/>
      <c r="AJ420" s="156"/>
      <c r="AK420" s="156"/>
      <c r="AL420" s="157"/>
      <c r="AM420" s="137"/>
      <c r="AN420" s="137"/>
      <c r="AO420" s="137"/>
      <c r="AP420" s="137"/>
      <c r="AQ420" s="137"/>
      <c r="AR420" s="137"/>
    </row>
    <row r="421" spans="1:44" ht="39.950000000000003" customHeight="1">
      <c r="A421" s="136"/>
      <c r="B421" s="136"/>
      <c r="C421" s="136"/>
      <c r="D421" s="136"/>
      <c r="E421" s="136"/>
      <c r="F421" s="136"/>
      <c r="G421" s="136"/>
      <c r="H421" s="136"/>
      <c r="I421" s="136"/>
      <c r="J421" s="136"/>
      <c r="K421" s="136"/>
      <c r="L421" s="136"/>
      <c r="M421" s="136"/>
      <c r="N421" s="136"/>
      <c r="O421" s="136"/>
      <c r="P421" s="136"/>
      <c r="Q421" s="136"/>
      <c r="R421" s="136"/>
      <c r="S421" s="136"/>
      <c r="T421" s="137"/>
      <c r="U421" s="137"/>
      <c r="V421" s="137"/>
      <c r="W421" s="137"/>
      <c r="X421" s="137"/>
      <c r="Y421" s="137"/>
      <c r="Z421" s="137"/>
      <c r="AA421" s="187"/>
      <c r="AB421" s="187"/>
      <c r="AC421" s="187"/>
      <c r="AD421" s="155">
        <f t="shared" si="14"/>
        <v>0</v>
      </c>
      <c r="AE421" s="156"/>
      <c r="AF421" s="156"/>
      <c r="AG421" s="156"/>
      <c r="AH421" s="156"/>
      <c r="AI421" s="156"/>
      <c r="AJ421" s="156"/>
      <c r="AK421" s="156"/>
      <c r="AL421" s="157"/>
      <c r="AM421" s="137"/>
      <c r="AN421" s="137"/>
      <c r="AO421" s="137"/>
      <c r="AP421" s="137"/>
      <c r="AQ421" s="137"/>
      <c r="AR421" s="137"/>
    </row>
    <row r="422" spans="1:44" ht="39.950000000000003" customHeight="1">
      <c r="A422" s="136"/>
      <c r="B422" s="136"/>
      <c r="C422" s="136"/>
      <c r="D422" s="136"/>
      <c r="E422" s="136"/>
      <c r="F422" s="136"/>
      <c r="G422" s="136"/>
      <c r="H422" s="136"/>
      <c r="I422" s="136"/>
      <c r="J422" s="136"/>
      <c r="K422" s="136"/>
      <c r="L422" s="136"/>
      <c r="M422" s="136"/>
      <c r="N422" s="136"/>
      <c r="O422" s="136"/>
      <c r="P422" s="136"/>
      <c r="Q422" s="136"/>
      <c r="R422" s="136"/>
      <c r="S422" s="136"/>
      <c r="T422" s="137"/>
      <c r="U422" s="137"/>
      <c r="V422" s="137"/>
      <c r="W422" s="137"/>
      <c r="X422" s="137"/>
      <c r="Y422" s="137"/>
      <c r="Z422" s="137"/>
      <c r="AA422" s="187"/>
      <c r="AB422" s="187"/>
      <c r="AC422" s="187"/>
      <c r="AD422" s="155">
        <f t="shared" si="14"/>
        <v>0</v>
      </c>
      <c r="AE422" s="156"/>
      <c r="AF422" s="156"/>
      <c r="AG422" s="156"/>
      <c r="AH422" s="156"/>
      <c r="AI422" s="156"/>
      <c r="AJ422" s="156"/>
      <c r="AK422" s="156"/>
      <c r="AL422" s="157"/>
      <c r="AM422" s="137"/>
      <c r="AN422" s="137"/>
      <c r="AO422" s="137"/>
      <c r="AP422" s="137"/>
      <c r="AQ422" s="137"/>
      <c r="AR422" s="137"/>
    </row>
    <row r="423" spans="1:44" ht="39.950000000000003" customHeight="1">
      <c r="A423" s="428" t="s">
        <v>1352</v>
      </c>
      <c r="B423" s="428"/>
      <c r="C423" s="428"/>
      <c r="D423" s="428"/>
      <c r="E423" s="428"/>
      <c r="F423" s="428"/>
      <c r="G423" s="428"/>
      <c r="H423" s="428"/>
      <c r="I423" s="428"/>
      <c r="J423" s="428"/>
      <c r="K423" s="428"/>
      <c r="L423" s="428"/>
      <c r="M423" s="428"/>
      <c r="N423" s="428"/>
      <c r="O423" s="428"/>
      <c r="P423" s="428"/>
      <c r="Q423" s="428"/>
      <c r="R423" s="428"/>
      <c r="S423" s="428"/>
      <c r="T423" s="428"/>
      <c r="U423" s="428"/>
      <c r="V423" s="428"/>
      <c r="W423" s="428"/>
      <c r="X423" s="428"/>
      <c r="Y423" s="428"/>
      <c r="Z423" s="428"/>
      <c r="AA423" s="428"/>
      <c r="AB423" s="428"/>
      <c r="AC423" s="428"/>
      <c r="AD423" s="316">
        <f>SUM(AD403:AL422)</f>
        <v>0</v>
      </c>
      <c r="AE423" s="316"/>
      <c r="AF423" s="316"/>
      <c r="AG423" s="316"/>
      <c r="AH423" s="316"/>
      <c r="AI423" s="316"/>
      <c r="AJ423" s="316"/>
      <c r="AK423" s="316"/>
      <c r="AL423" s="316"/>
      <c r="AM423" s="316"/>
      <c r="AN423" s="316"/>
      <c r="AO423" s="316"/>
      <c r="AP423" s="316"/>
      <c r="AQ423" s="316"/>
      <c r="AR423" s="316"/>
    </row>
    <row r="424" spans="1:44" ht="45" customHeight="1">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c r="AA424" s="54"/>
      <c r="AB424" s="54"/>
      <c r="AC424" s="54"/>
      <c r="AD424" s="54"/>
      <c r="AE424" s="68"/>
      <c r="AF424" s="68"/>
      <c r="AG424" s="68"/>
      <c r="AH424" s="68"/>
      <c r="AI424" s="68"/>
      <c r="AJ424" s="68"/>
      <c r="AK424" s="68"/>
      <c r="AL424" s="68"/>
      <c r="AM424" s="68"/>
      <c r="AN424" s="68"/>
    </row>
    <row r="425" spans="1:44" ht="147" customHeight="1">
      <c r="A425" s="367" t="s">
        <v>1435</v>
      </c>
      <c r="B425" s="367"/>
      <c r="C425" s="367"/>
      <c r="D425" s="367"/>
      <c r="E425" s="367"/>
      <c r="F425" s="367"/>
      <c r="G425" s="367"/>
      <c r="H425" s="367"/>
      <c r="I425" s="367"/>
      <c r="J425" s="367"/>
      <c r="K425" s="367"/>
      <c r="L425" s="367"/>
      <c r="M425" s="367"/>
      <c r="N425" s="367"/>
      <c r="O425" s="367"/>
      <c r="P425" s="367"/>
      <c r="Q425" s="367"/>
      <c r="R425" s="367"/>
      <c r="S425" s="367"/>
      <c r="T425" s="367"/>
      <c r="U425" s="367"/>
      <c r="V425" s="367"/>
      <c r="W425" s="367"/>
      <c r="X425" s="367"/>
      <c r="Y425" s="367"/>
      <c r="Z425" s="367"/>
      <c r="AA425" s="367"/>
      <c r="AB425" s="367"/>
      <c r="AC425" s="367"/>
      <c r="AD425" s="367"/>
      <c r="AE425" s="367"/>
      <c r="AF425" s="367"/>
      <c r="AG425" s="367"/>
      <c r="AH425" s="367"/>
      <c r="AI425" s="367"/>
      <c r="AJ425" s="367"/>
      <c r="AK425" s="367"/>
      <c r="AL425" s="367"/>
      <c r="AM425" s="367"/>
      <c r="AN425" s="367"/>
      <c r="AO425" s="367"/>
      <c r="AP425" s="367"/>
      <c r="AQ425" s="367"/>
      <c r="AR425" s="367"/>
    </row>
    <row r="427" spans="1:44" ht="26.25" customHeight="1">
      <c r="A427" s="310" t="s">
        <v>1880</v>
      </c>
      <c r="B427" s="311"/>
      <c r="C427" s="311"/>
      <c r="D427" s="311"/>
      <c r="E427" s="311"/>
      <c r="F427" s="311"/>
      <c r="G427" s="311"/>
      <c r="H427" s="311"/>
      <c r="I427" s="311"/>
      <c r="J427" s="311"/>
      <c r="K427" s="311"/>
      <c r="L427" s="311"/>
      <c r="M427" s="311"/>
      <c r="N427" s="311"/>
      <c r="O427" s="311"/>
      <c r="P427" s="311"/>
      <c r="Q427" s="311"/>
      <c r="R427" s="311"/>
      <c r="S427" s="311"/>
      <c r="T427" s="311"/>
      <c r="U427" s="311"/>
      <c r="V427" s="311"/>
      <c r="W427" s="311"/>
      <c r="X427" s="311"/>
      <c r="Y427" s="311"/>
      <c r="Z427" s="311"/>
      <c r="AA427" s="311"/>
      <c r="AB427" s="311"/>
      <c r="AC427" s="311"/>
      <c r="AD427" s="311"/>
      <c r="AE427" s="311"/>
      <c r="AF427" s="311"/>
      <c r="AG427" s="311"/>
      <c r="AH427" s="311"/>
      <c r="AI427" s="311"/>
      <c r="AJ427" s="311"/>
      <c r="AK427" s="311"/>
      <c r="AL427" s="429"/>
      <c r="AM427" s="415" t="s">
        <v>1345</v>
      </c>
      <c r="AN427" s="311"/>
      <c r="AO427" s="311"/>
      <c r="AP427" s="311"/>
      <c r="AQ427" s="311"/>
      <c r="AR427" s="317"/>
    </row>
    <row r="428" spans="1:44" ht="52.5" customHeight="1">
      <c r="A428" s="422" t="s">
        <v>54</v>
      </c>
      <c r="B428" s="423"/>
      <c r="C428" s="423"/>
      <c r="D428" s="423"/>
      <c r="E428" s="423"/>
      <c r="F428" s="423"/>
      <c r="G428" s="423"/>
      <c r="H428" s="423"/>
      <c r="I428" s="423"/>
      <c r="J428" s="423"/>
      <c r="K428" s="423"/>
      <c r="L428" s="423"/>
      <c r="M428" s="423"/>
      <c r="N428" s="423"/>
      <c r="O428" s="423"/>
      <c r="P428" s="423"/>
      <c r="Q428" s="423"/>
      <c r="R428" s="423"/>
      <c r="S428" s="424"/>
      <c r="T428" s="433" t="s">
        <v>75</v>
      </c>
      <c r="U428" s="433"/>
      <c r="V428" s="433"/>
      <c r="W428" s="433"/>
      <c r="X428" s="433"/>
      <c r="Y428" s="433"/>
      <c r="Z428" s="433"/>
      <c r="AA428" s="419" t="s">
        <v>76</v>
      </c>
      <c r="AB428" s="420"/>
      <c r="AC428" s="421"/>
      <c r="AD428" s="422" t="s">
        <v>1353</v>
      </c>
      <c r="AE428" s="423"/>
      <c r="AF428" s="423"/>
      <c r="AG428" s="423"/>
      <c r="AH428" s="423"/>
      <c r="AI428" s="423"/>
      <c r="AJ428" s="423"/>
      <c r="AK428" s="423"/>
      <c r="AL428" s="424"/>
      <c r="AM428" s="416" t="s">
        <v>1348</v>
      </c>
      <c r="AN428" s="417"/>
      <c r="AO428" s="425" t="s">
        <v>1349</v>
      </c>
      <c r="AP428" s="426"/>
      <c r="AQ428" s="426"/>
      <c r="AR428" s="427"/>
    </row>
    <row r="429" spans="1:44" ht="39.950000000000003" customHeight="1">
      <c r="A429" s="430" t="s">
        <v>1871</v>
      </c>
      <c r="B429" s="431"/>
      <c r="C429" s="431"/>
      <c r="D429" s="431"/>
      <c r="E429" s="431"/>
      <c r="F429" s="431"/>
      <c r="G429" s="431"/>
      <c r="H429" s="431"/>
      <c r="I429" s="431"/>
      <c r="J429" s="431"/>
      <c r="K429" s="431"/>
      <c r="L429" s="431"/>
      <c r="M429" s="431"/>
      <c r="N429" s="431"/>
      <c r="O429" s="431"/>
      <c r="P429" s="431"/>
      <c r="Q429" s="431"/>
      <c r="R429" s="431"/>
      <c r="S429" s="432"/>
      <c r="T429" s="441">
        <f>+(AG201+AG209+AG216)</f>
        <v>0</v>
      </c>
      <c r="U429" s="441"/>
      <c r="V429" s="441"/>
      <c r="W429" s="441"/>
      <c r="X429" s="441"/>
      <c r="Y429" s="441"/>
      <c r="Z429" s="441"/>
      <c r="AA429" s="418">
        <v>1</v>
      </c>
      <c r="AB429" s="418"/>
      <c r="AC429" s="418"/>
      <c r="AD429" s="155">
        <f>+AA429*T429</f>
        <v>0</v>
      </c>
      <c r="AE429" s="156"/>
      <c r="AF429" s="156"/>
      <c r="AG429" s="156"/>
      <c r="AH429" s="156"/>
      <c r="AI429" s="156"/>
      <c r="AJ429" s="156"/>
      <c r="AK429" s="156"/>
      <c r="AL429" s="157"/>
      <c r="AM429" s="269"/>
      <c r="AN429" s="270"/>
      <c r="AO429" s="207"/>
      <c r="AP429" s="208"/>
      <c r="AQ429" s="208"/>
      <c r="AR429" s="209"/>
    </row>
    <row r="430" spans="1:44" ht="39.950000000000003" customHeight="1">
      <c r="A430" s="149"/>
      <c r="B430" s="150"/>
      <c r="C430" s="150"/>
      <c r="D430" s="150"/>
      <c r="E430" s="150"/>
      <c r="F430" s="150"/>
      <c r="G430" s="150"/>
      <c r="H430" s="150"/>
      <c r="I430" s="150"/>
      <c r="J430" s="150"/>
      <c r="K430" s="150"/>
      <c r="L430" s="150"/>
      <c r="M430" s="150"/>
      <c r="N430" s="150"/>
      <c r="O430" s="150"/>
      <c r="P430" s="150"/>
      <c r="Q430" s="150"/>
      <c r="R430" s="150"/>
      <c r="S430" s="151"/>
      <c r="T430" s="137"/>
      <c r="U430" s="137"/>
      <c r="V430" s="137"/>
      <c r="W430" s="137"/>
      <c r="X430" s="137"/>
      <c r="Y430" s="137"/>
      <c r="Z430" s="137"/>
      <c r="AA430" s="187"/>
      <c r="AB430" s="187"/>
      <c r="AC430" s="187"/>
      <c r="AD430" s="155">
        <f t="shared" ref="AD430:AD443" si="15">+AA430*T430</f>
        <v>0</v>
      </c>
      <c r="AE430" s="156"/>
      <c r="AF430" s="156"/>
      <c r="AG430" s="156"/>
      <c r="AH430" s="156"/>
      <c r="AI430" s="156"/>
      <c r="AJ430" s="156"/>
      <c r="AK430" s="156"/>
      <c r="AL430" s="157"/>
      <c r="AM430" s="269"/>
      <c r="AN430" s="270"/>
      <c r="AO430" s="207"/>
      <c r="AP430" s="208"/>
      <c r="AQ430" s="208"/>
      <c r="AR430" s="209"/>
    </row>
    <row r="431" spans="1:44" ht="39.950000000000003" customHeight="1">
      <c r="A431" s="149"/>
      <c r="B431" s="150"/>
      <c r="C431" s="150"/>
      <c r="D431" s="150"/>
      <c r="E431" s="150"/>
      <c r="F431" s="150"/>
      <c r="G431" s="150"/>
      <c r="H431" s="150"/>
      <c r="I431" s="150"/>
      <c r="J431" s="150"/>
      <c r="K431" s="150"/>
      <c r="L431" s="150"/>
      <c r="M431" s="150"/>
      <c r="N431" s="150"/>
      <c r="O431" s="150"/>
      <c r="P431" s="150"/>
      <c r="Q431" s="150"/>
      <c r="R431" s="150"/>
      <c r="S431" s="151"/>
      <c r="T431" s="137"/>
      <c r="U431" s="137"/>
      <c r="V431" s="137"/>
      <c r="W431" s="137"/>
      <c r="X431" s="137"/>
      <c r="Y431" s="137"/>
      <c r="Z431" s="137"/>
      <c r="AA431" s="187"/>
      <c r="AB431" s="187"/>
      <c r="AC431" s="187"/>
      <c r="AD431" s="155">
        <f t="shared" si="15"/>
        <v>0</v>
      </c>
      <c r="AE431" s="156"/>
      <c r="AF431" s="156"/>
      <c r="AG431" s="156"/>
      <c r="AH431" s="156"/>
      <c r="AI431" s="156"/>
      <c r="AJ431" s="156"/>
      <c r="AK431" s="156"/>
      <c r="AL431" s="157"/>
      <c r="AM431" s="269"/>
      <c r="AN431" s="270"/>
      <c r="AO431" s="207"/>
      <c r="AP431" s="208"/>
      <c r="AQ431" s="208"/>
      <c r="AR431" s="209"/>
    </row>
    <row r="432" spans="1:44" ht="39.950000000000003" customHeight="1">
      <c r="A432" s="149"/>
      <c r="B432" s="150"/>
      <c r="C432" s="150"/>
      <c r="D432" s="150"/>
      <c r="E432" s="150"/>
      <c r="F432" s="150"/>
      <c r="G432" s="150"/>
      <c r="H432" s="150"/>
      <c r="I432" s="150"/>
      <c r="J432" s="150"/>
      <c r="K432" s="150"/>
      <c r="L432" s="150"/>
      <c r="M432" s="150"/>
      <c r="N432" s="150"/>
      <c r="O432" s="150"/>
      <c r="P432" s="150"/>
      <c r="Q432" s="150"/>
      <c r="R432" s="150"/>
      <c r="S432" s="151"/>
      <c r="T432" s="137"/>
      <c r="U432" s="137"/>
      <c r="V432" s="137"/>
      <c r="W432" s="137"/>
      <c r="X432" s="137"/>
      <c r="Y432" s="137"/>
      <c r="Z432" s="137"/>
      <c r="AA432" s="187"/>
      <c r="AB432" s="187"/>
      <c r="AC432" s="187"/>
      <c r="AD432" s="155">
        <f t="shared" si="15"/>
        <v>0</v>
      </c>
      <c r="AE432" s="156"/>
      <c r="AF432" s="156"/>
      <c r="AG432" s="156"/>
      <c r="AH432" s="156"/>
      <c r="AI432" s="156"/>
      <c r="AJ432" s="156"/>
      <c r="AK432" s="156"/>
      <c r="AL432" s="157"/>
      <c r="AM432" s="269"/>
      <c r="AN432" s="270"/>
      <c r="AO432" s="207"/>
      <c r="AP432" s="208"/>
      <c r="AQ432" s="208"/>
      <c r="AR432" s="209"/>
    </row>
    <row r="433" spans="1:50" ht="39.950000000000003" customHeight="1">
      <c r="A433" s="149"/>
      <c r="B433" s="150"/>
      <c r="C433" s="150"/>
      <c r="D433" s="150"/>
      <c r="E433" s="150"/>
      <c r="F433" s="150"/>
      <c r="G433" s="150"/>
      <c r="H433" s="150"/>
      <c r="I433" s="150"/>
      <c r="J433" s="150"/>
      <c r="K433" s="150"/>
      <c r="L433" s="150"/>
      <c r="M433" s="150"/>
      <c r="N433" s="150"/>
      <c r="O433" s="150"/>
      <c r="P433" s="150"/>
      <c r="Q433" s="150"/>
      <c r="R433" s="150"/>
      <c r="S433" s="151"/>
      <c r="T433" s="137"/>
      <c r="U433" s="137"/>
      <c r="V433" s="137"/>
      <c r="W433" s="137"/>
      <c r="X433" s="137"/>
      <c r="Y433" s="137"/>
      <c r="Z433" s="137"/>
      <c r="AA433" s="187"/>
      <c r="AB433" s="187"/>
      <c r="AC433" s="187"/>
      <c r="AD433" s="155">
        <f t="shared" si="15"/>
        <v>0</v>
      </c>
      <c r="AE433" s="156"/>
      <c r="AF433" s="156"/>
      <c r="AG433" s="156"/>
      <c r="AH433" s="156"/>
      <c r="AI433" s="156"/>
      <c r="AJ433" s="156"/>
      <c r="AK433" s="156"/>
      <c r="AL433" s="157"/>
      <c r="AM433" s="269"/>
      <c r="AN433" s="270"/>
      <c r="AO433" s="207"/>
      <c r="AP433" s="208"/>
      <c r="AQ433" s="208"/>
      <c r="AR433" s="209"/>
    </row>
    <row r="434" spans="1:50" ht="39.950000000000003" customHeight="1">
      <c r="A434" s="149"/>
      <c r="B434" s="150"/>
      <c r="C434" s="150"/>
      <c r="D434" s="150"/>
      <c r="E434" s="150"/>
      <c r="F434" s="150"/>
      <c r="G434" s="150"/>
      <c r="H434" s="150"/>
      <c r="I434" s="150"/>
      <c r="J434" s="150"/>
      <c r="K434" s="150"/>
      <c r="L434" s="150"/>
      <c r="M434" s="150"/>
      <c r="N434" s="150"/>
      <c r="O434" s="150"/>
      <c r="P434" s="150"/>
      <c r="Q434" s="150"/>
      <c r="R434" s="150"/>
      <c r="S434" s="151"/>
      <c r="T434" s="137"/>
      <c r="U434" s="137"/>
      <c r="V434" s="137"/>
      <c r="W434" s="137"/>
      <c r="X434" s="137"/>
      <c r="Y434" s="137"/>
      <c r="Z434" s="137"/>
      <c r="AA434" s="187"/>
      <c r="AB434" s="187"/>
      <c r="AC434" s="187"/>
      <c r="AD434" s="155">
        <f t="shared" si="15"/>
        <v>0</v>
      </c>
      <c r="AE434" s="156"/>
      <c r="AF434" s="156"/>
      <c r="AG434" s="156"/>
      <c r="AH434" s="156"/>
      <c r="AI434" s="156"/>
      <c r="AJ434" s="156"/>
      <c r="AK434" s="156"/>
      <c r="AL434" s="157"/>
      <c r="AM434" s="269"/>
      <c r="AN434" s="270"/>
      <c r="AO434" s="207"/>
      <c r="AP434" s="208"/>
      <c r="AQ434" s="208"/>
      <c r="AR434" s="209"/>
    </row>
    <row r="435" spans="1:50" ht="39.950000000000003" customHeight="1">
      <c r="A435" s="149"/>
      <c r="B435" s="150"/>
      <c r="C435" s="150"/>
      <c r="D435" s="150"/>
      <c r="E435" s="150"/>
      <c r="F435" s="150"/>
      <c r="G435" s="150"/>
      <c r="H435" s="150"/>
      <c r="I435" s="150"/>
      <c r="J435" s="150"/>
      <c r="K435" s="150"/>
      <c r="L435" s="150"/>
      <c r="M435" s="150"/>
      <c r="N435" s="150"/>
      <c r="O435" s="150"/>
      <c r="P435" s="150"/>
      <c r="Q435" s="150"/>
      <c r="R435" s="150"/>
      <c r="S435" s="151"/>
      <c r="T435" s="137"/>
      <c r="U435" s="137"/>
      <c r="V435" s="137"/>
      <c r="W435" s="137"/>
      <c r="X435" s="137"/>
      <c r="Y435" s="137"/>
      <c r="Z435" s="137"/>
      <c r="AA435" s="187"/>
      <c r="AB435" s="187"/>
      <c r="AC435" s="187"/>
      <c r="AD435" s="155">
        <f t="shared" si="15"/>
        <v>0</v>
      </c>
      <c r="AE435" s="156"/>
      <c r="AF435" s="156"/>
      <c r="AG435" s="156"/>
      <c r="AH435" s="156"/>
      <c r="AI435" s="156"/>
      <c r="AJ435" s="156"/>
      <c r="AK435" s="156"/>
      <c r="AL435" s="157"/>
      <c r="AM435" s="269"/>
      <c r="AN435" s="270"/>
      <c r="AO435" s="207"/>
      <c r="AP435" s="208"/>
      <c r="AQ435" s="208"/>
      <c r="AR435" s="209"/>
    </row>
    <row r="436" spans="1:50" ht="39.950000000000003" customHeight="1">
      <c r="A436" s="149"/>
      <c r="B436" s="150"/>
      <c r="C436" s="150"/>
      <c r="D436" s="150"/>
      <c r="E436" s="150"/>
      <c r="F436" s="150"/>
      <c r="G436" s="150"/>
      <c r="H436" s="150"/>
      <c r="I436" s="150"/>
      <c r="J436" s="150"/>
      <c r="K436" s="150"/>
      <c r="L436" s="150"/>
      <c r="M436" s="150"/>
      <c r="N436" s="150"/>
      <c r="O436" s="150"/>
      <c r="P436" s="150"/>
      <c r="Q436" s="150"/>
      <c r="R436" s="150"/>
      <c r="S436" s="151"/>
      <c r="T436" s="137"/>
      <c r="U436" s="137"/>
      <c r="V436" s="137"/>
      <c r="W436" s="137"/>
      <c r="X436" s="137"/>
      <c r="Y436" s="137"/>
      <c r="Z436" s="137"/>
      <c r="AA436" s="187"/>
      <c r="AB436" s="187"/>
      <c r="AC436" s="187"/>
      <c r="AD436" s="155">
        <f t="shared" si="15"/>
        <v>0</v>
      </c>
      <c r="AE436" s="156"/>
      <c r="AF436" s="156"/>
      <c r="AG436" s="156"/>
      <c r="AH436" s="156"/>
      <c r="AI436" s="156"/>
      <c r="AJ436" s="156"/>
      <c r="AK436" s="156"/>
      <c r="AL436" s="157"/>
      <c r="AM436" s="269"/>
      <c r="AN436" s="270"/>
      <c r="AO436" s="207"/>
      <c r="AP436" s="208"/>
      <c r="AQ436" s="208"/>
      <c r="AR436" s="209"/>
    </row>
    <row r="437" spans="1:50" ht="39.950000000000003" customHeight="1">
      <c r="A437" s="149"/>
      <c r="B437" s="150"/>
      <c r="C437" s="150"/>
      <c r="D437" s="150"/>
      <c r="E437" s="150"/>
      <c r="F437" s="150"/>
      <c r="G437" s="150"/>
      <c r="H437" s="150"/>
      <c r="I437" s="150"/>
      <c r="J437" s="150"/>
      <c r="K437" s="150"/>
      <c r="L437" s="150"/>
      <c r="M437" s="150"/>
      <c r="N437" s="150"/>
      <c r="O437" s="150"/>
      <c r="P437" s="150"/>
      <c r="Q437" s="150"/>
      <c r="R437" s="150"/>
      <c r="S437" s="151"/>
      <c r="T437" s="137"/>
      <c r="U437" s="137"/>
      <c r="V437" s="137"/>
      <c r="W437" s="137"/>
      <c r="X437" s="137"/>
      <c r="Y437" s="137"/>
      <c r="Z437" s="137"/>
      <c r="AA437" s="187"/>
      <c r="AB437" s="187"/>
      <c r="AC437" s="187"/>
      <c r="AD437" s="155">
        <f t="shared" si="15"/>
        <v>0</v>
      </c>
      <c r="AE437" s="156"/>
      <c r="AF437" s="156"/>
      <c r="AG437" s="156"/>
      <c r="AH437" s="156"/>
      <c r="AI437" s="156"/>
      <c r="AJ437" s="156"/>
      <c r="AK437" s="156"/>
      <c r="AL437" s="157"/>
      <c r="AM437" s="269"/>
      <c r="AN437" s="270"/>
      <c r="AO437" s="207"/>
      <c r="AP437" s="208"/>
      <c r="AQ437" s="208"/>
      <c r="AR437" s="209"/>
    </row>
    <row r="438" spans="1:50" ht="39.950000000000003" customHeight="1">
      <c r="A438" s="149"/>
      <c r="B438" s="150"/>
      <c r="C438" s="150"/>
      <c r="D438" s="150"/>
      <c r="E438" s="150"/>
      <c r="F438" s="150"/>
      <c r="G438" s="150"/>
      <c r="H438" s="150"/>
      <c r="I438" s="150"/>
      <c r="J438" s="150"/>
      <c r="K438" s="150"/>
      <c r="L438" s="150"/>
      <c r="M438" s="150"/>
      <c r="N438" s="150"/>
      <c r="O438" s="150"/>
      <c r="P438" s="150"/>
      <c r="Q438" s="150"/>
      <c r="R438" s="150"/>
      <c r="S438" s="151"/>
      <c r="T438" s="137"/>
      <c r="U438" s="137"/>
      <c r="V438" s="137"/>
      <c r="W438" s="137"/>
      <c r="X438" s="137"/>
      <c r="Y438" s="137"/>
      <c r="Z438" s="137"/>
      <c r="AA438" s="187"/>
      <c r="AB438" s="187"/>
      <c r="AC438" s="187"/>
      <c r="AD438" s="155">
        <f t="shared" si="15"/>
        <v>0</v>
      </c>
      <c r="AE438" s="156"/>
      <c r="AF438" s="156"/>
      <c r="AG438" s="156"/>
      <c r="AH438" s="156"/>
      <c r="AI438" s="156"/>
      <c r="AJ438" s="156"/>
      <c r="AK438" s="156"/>
      <c r="AL438" s="157"/>
      <c r="AM438" s="269"/>
      <c r="AN438" s="270"/>
      <c r="AO438" s="207"/>
      <c r="AP438" s="208"/>
      <c r="AQ438" s="208"/>
      <c r="AR438" s="209"/>
    </row>
    <row r="439" spans="1:50" ht="39.950000000000003" customHeight="1">
      <c r="A439" s="149"/>
      <c r="B439" s="150"/>
      <c r="C439" s="150"/>
      <c r="D439" s="150"/>
      <c r="E439" s="150"/>
      <c r="F439" s="150"/>
      <c r="G439" s="150"/>
      <c r="H439" s="150"/>
      <c r="I439" s="150"/>
      <c r="J439" s="150"/>
      <c r="K439" s="150"/>
      <c r="L439" s="150"/>
      <c r="M439" s="150"/>
      <c r="N439" s="150"/>
      <c r="O439" s="150"/>
      <c r="P439" s="150"/>
      <c r="Q439" s="150"/>
      <c r="R439" s="150"/>
      <c r="S439" s="151"/>
      <c r="T439" s="137"/>
      <c r="U439" s="137"/>
      <c r="V439" s="137"/>
      <c r="W439" s="137"/>
      <c r="X439" s="137"/>
      <c r="Y439" s="137"/>
      <c r="Z439" s="137"/>
      <c r="AA439" s="187"/>
      <c r="AB439" s="187"/>
      <c r="AC439" s="187"/>
      <c r="AD439" s="155">
        <f t="shared" si="15"/>
        <v>0</v>
      </c>
      <c r="AE439" s="156"/>
      <c r="AF439" s="156"/>
      <c r="AG439" s="156"/>
      <c r="AH439" s="156"/>
      <c r="AI439" s="156"/>
      <c r="AJ439" s="156"/>
      <c r="AK439" s="156"/>
      <c r="AL439" s="157"/>
      <c r="AM439" s="269"/>
      <c r="AN439" s="270"/>
      <c r="AO439" s="207"/>
      <c r="AP439" s="208"/>
      <c r="AQ439" s="208"/>
      <c r="AR439" s="209"/>
    </row>
    <row r="440" spans="1:50" ht="39.950000000000003" customHeight="1">
      <c r="A440" s="149"/>
      <c r="B440" s="150"/>
      <c r="C440" s="150"/>
      <c r="D440" s="150"/>
      <c r="E440" s="150"/>
      <c r="F440" s="150"/>
      <c r="G440" s="150"/>
      <c r="H440" s="150"/>
      <c r="I440" s="150"/>
      <c r="J440" s="150"/>
      <c r="K440" s="150"/>
      <c r="L440" s="150"/>
      <c r="M440" s="150"/>
      <c r="N440" s="150"/>
      <c r="O440" s="150"/>
      <c r="P440" s="150"/>
      <c r="Q440" s="150"/>
      <c r="R440" s="150"/>
      <c r="S440" s="151"/>
      <c r="T440" s="137"/>
      <c r="U440" s="137"/>
      <c r="V440" s="137"/>
      <c r="W440" s="137"/>
      <c r="X440" s="137"/>
      <c r="Y440" s="137"/>
      <c r="Z440" s="137"/>
      <c r="AA440" s="187"/>
      <c r="AB440" s="187"/>
      <c r="AC440" s="187"/>
      <c r="AD440" s="155">
        <f t="shared" si="15"/>
        <v>0</v>
      </c>
      <c r="AE440" s="156"/>
      <c r="AF440" s="156"/>
      <c r="AG440" s="156"/>
      <c r="AH440" s="156"/>
      <c r="AI440" s="156"/>
      <c r="AJ440" s="156"/>
      <c r="AK440" s="156"/>
      <c r="AL440" s="157"/>
      <c r="AM440" s="269"/>
      <c r="AN440" s="270"/>
      <c r="AO440" s="207"/>
      <c r="AP440" s="208"/>
      <c r="AQ440" s="208"/>
      <c r="AR440" s="209"/>
    </row>
    <row r="441" spans="1:50" ht="39.950000000000003" customHeight="1">
      <c r="A441" s="149"/>
      <c r="B441" s="150"/>
      <c r="C441" s="150"/>
      <c r="D441" s="150"/>
      <c r="E441" s="150"/>
      <c r="F441" s="150"/>
      <c r="G441" s="150"/>
      <c r="H441" s="150"/>
      <c r="I441" s="150"/>
      <c r="J441" s="150"/>
      <c r="K441" s="150"/>
      <c r="L441" s="150"/>
      <c r="M441" s="150"/>
      <c r="N441" s="150"/>
      <c r="O441" s="150"/>
      <c r="P441" s="150"/>
      <c r="Q441" s="150"/>
      <c r="R441" s="150"/>
      <c r="S441" s="151"/>
      <c r="T441" s="137"/>
      <c r="U441" s="137"/>
      <c r="V441" s="137"/>
      <c r="W441" s="137"/>
      <c r="X441" s="137"/>
      <c r="Y441" s="137"/>
      <c r="Z441" s="137"/>
      <c r="AA441" s="187"/>
      <c r="AB441" s="187"/>
      <c r="AC441" s="187"/>
      <c r="AD441" s="155">
        <f t="shared" si="15"/>
        <v>0</v>
      </c>
      <c r="AE441" s="156"/>
      <c r="AF441" s="156"/>
      <c r="AG441" s="156"/>
      <c r="AH441" s="156"/>
      <c r="AI441" s="156"/>
      <c r="AJ441" s="156"/>
      <c r="AK441" s="156"/>
      <c r="AL441" s="157"/>
      <c r="AM441" s="269"/>
      <c r="AN441" s="270"/>
      <c r="AO441" s="207"/>
      <c r="AP441" s="208"/>
      <c r="AQ441" s="208"/>
      <c r="AR441" s="209"/>
    </row>
    <row r="442" spans="1:50" ht="39.950000000000003" customHeight="1">
      <c r="A442" s="149"/>
      <c r="B442" s="150"/>
      <c r="C442" s="150"/>
      <c r="D442" s="150"/>
      <c r="E442" s="150"/>
      <c r="F442" s="150"/>
      <c r="G442" s="150"/>
      <c r="H442" s="150"/>
      <c r="I442" s="150"/>
      <c r="J442" s="150"/>
      <c r="K442" s="150"/>
      <c r="L442" s="150"/>
      <c r="M442" s="150"/>
      <c r="N442" s="150"/>
      <c r="O442" s="150"/>
      <c r="P442" s="150"/>
      <c r="Q442" s="150"/>
      <c r="R442" s="150"/>
      <c r="S442" s="151"/>
      <c r="T442" s="137"/>
      <c r="U442" s="137"/>
      <c r="V442" s="137"/>
      <c r="W442" s="137"/>
      <c r="X442" s="137"/>
      <c r="Y442" s="137"/>
      <c r="Z442" s="137"/>
      <c r="AA442" s="187"/>
      <c r="AB442" s="187"/>
      <c r="AC442" s="187"/>
      <c r="AD442" s="155">
        <f t="shared" si="15"/>
        <v>0</v>
      </c>
      <c r="AE442" s="156"/>
      <c r="AF442" s="156"/>
      <c r="AG442" s="156"/>
      <c r="AH442" s="156"/>
      <c r="AI442" s="156"/>
      <c r="AJ442" s="156"/>
      <c r="AK442" s="156"/>
      <c r="AL442" s="157"/>
      <c r="AM442" s="269"/>
      <c r="AN442" s="270"/>
      <c r="AO442" s="207"/>
      <c r="AP442" s="208"/>
      <c r="AQ442" s="208"/>
      <c r="AR442" s="209"/>
    </row>
    <row r="443" spans="1:50" ht="39.950000000000003" customHeight="1">
      <c r="A443" s="149"/>
      <c r="B443" s="150"/>
      <c r="C443" s="150"/>
      <c r="D443" s="150"/>
      <c r="E443" s="150"/>
      <c r="F443" s="150"/>
      <c r="G443" s="150"/>
      <c r="H443" s="150"/>
      <c r="I443" s="150"/>
      <c r="J443" s="150"/>
      <c r="K443" s="150"/>
      <c r="L443" s="150"/>
      <c r="M443" s="150"/>
      <c r="N443" s="150"/>
      <c r="O443" s="150"/>
      <c r="P443" s="150"/>
      <c r="Q443" s="150"/>
      <c r="R443" s="150"/>
      <c r="S443" s="151"/>
      <c r="T443" s="137"/>
      <c r="U443" s="137"/>
      <c r="V443" s="137"/>
      <c r="W443" s="137"/>
      <c r="X443" s="137"/>
      <c r="Y443" s="137"/>
      <c r="Z443" s="137"/>
      <c r="AA443" s="187"/>
      <c r="AB443" s="187"/>
      <c r="AC443" s="187"/>
      <c r="AD443" s="155">
        <f t="shared" si="15"/>
        <v>0</v>
      </c>
      <c r="AE443" s="156"/>
      <c r="AF443" s="156"/>
      <c r="AG443" s="156"/>
      <c r="AH443" s="156"/>
      <c r="AI443" s="156"/>
      <c r="AJ443" s="156"/>
      <c r="AK443" s="156"/>
      <c r="AL443" s="157"/>
      <c r="AM443" s="269"/>
      <c r="AN443" s="270"/>
      <c r="AO443" s="207"/>
      <c r="AP443" s="208"/>
      <c r="AQ443" s="208"/>
      <c r="AR443" s="209"/>
    </row>
    <row r="444" spans="1:50" ht="39.950000000000003" customHeight="1">
      <c r="A444" s="428" t="s">
        <v>1881</v>
      </c>
      <c r="B444" s="428"/>
      <c r="C444" s="428"/>
      <c r="D444" s="428"/>
      <c r="E444" s="428"/>
      <c r="F444" s="428"/>
      <c r="G444" s="428"/>
      <c r="H444" s="428"/>
      <c r="I444" s="428"/>
      <c r="J444" s="428"/>
      <c r="K444" s="428"/>
      <c r="L444" s="428"/>
      <c r="M444" s="428"/>
      <c r="N444" s="428"/>
      <c r="O444" s="428"/>
      <c r="P444" s="428"/>
      <c r="Q444" s="428"/>
      <c r="R444" s="428"/>
      <c r="S444" s="428"/>
      <c r="T444" s="428"/>
      <c r="U444" s="428"/>
      <c r="V444" s="428"/>
      <c r="W444" s="428"/>
      <c r="X444" s="428"/>
      <c r="Y444" s="428"/>
      <c r="Z444" s="428"/>
      <c r="AA444" s="428"/>
      <c r="AB444" s="428"/>
      <c r="AC444" s="428"/>
      <c r="AD444" s="316">
        <f>SUM(AD429:AL443)</f>
        <v>0</v>
      </c>
      <c r="AE444" s="316"/>
      <c r="AF444" s="316"/>
      <c r="AG444" s="316"/>
      <c r="AH444" s="316"/>
      <c r="AI444" s="316"/>
      <c r="AJ444" s="316"/>
      <c r="AK444" s="316"/>
      <c r="AL444" s="316"/>
      <c r="AM444" s="316"/>
      <c r="AN444" s="316"/>
      <c r="AO444" s="316"/>
      <c r="AP444" s="316"/>
      <c r="AQ444" s="316"/>
      <c r="AR444" s="316"/>
    </row>
    <row r="445" spans="1:50" ht="25.5" customHeight="1">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c r="AA445" s="54"/>
      <c r="AB445" s="54"/>
      <c r="AC445" s="54"/>
      <c r="AD445" s="54"/>
      <c r="AE445" s="68"/>
      <c r="AF445" s="68"/>
      <c r="AG445" s="68"/>
      <c r="AH445" s="68"/>
      <c r="AI445" s="68"/>
      <c r="AJ445" s="68"/>
      <c r="AK445" s="68"/>
      <c r="AL445" s="68"/>
      <c r="AM445" s="68"/>
      <c r="AN445" s="68"/>
    </row>
    <row r="446" spans="1:50" ht="30" customHeight="1">
      <c r="A446" s="217" t="s">
        <v>1387</v>
      </c>
      <c r="B446" s="217"/>
      <c r="C446" s="217"/>
      <c r="D446" s="217"/>
      <c r="E446" s="217"/>
      <c r="F446" s="217"/>
      <c r="G446" s="217"/>
      <c r="H446" s="217"/>
      <c r="I446" s="217"/>
      <c r="J446" s="217"/>
      <c r="K446" s="217"/>
      <c r="L446" s="217"/>
      <c r="M446" s="217"/>
      <c r="N446" s="217"/>
      <c r="O446" s="217"/>
      <c r="P446" s="217"/>
      <c r="Q446" s="217"/>
      <c r="R446" s="217"/>
      <c r="S446" s="217"/>
      <c r="T446" s="217"/>
      <c r="U446" s="217"/>
      <c r="V446" s="217"/>
      <c r="W446" s="217"/>
      <c r="X446" s="217"/>
      <c r="Y446" s="217"/>
      <c r="Z446" s="217"/>
      <c r="AA446" s="217"/>
      <c r="AB446" s="217"/>
      <c r="AC446" s="217"/>
      <c r="AD446" s="217"/>
      <c r="AE446" s="217"/>
      <c r="AF446" s="217"/>
      <c r="AG446" s="217"/>
      <c r="AH446" s="217"/>
      <c r="AI446" s="217"/>
      <c r="AJ446" s="217"/>
      <c r="AK446" s="217"/>
      <c r="AL446" s="217"/>
      <c r="AM446" s="217"/>
      <c r="AN446" s="217"/>
      <c r="AU446" s="60"/>
    </row>
    <row r="448" spans="1:50" ht="39.950000000000003" customHeight="1">
      <c r="A448" s="211" t="s">
        <v>131</v>
      </c>
      <c r="B448" s="212"/>
      <c r="C448" s="212"/>
      <c r="D448" s="212"/>
      <c r="E448" s="212"/>
      <c r="F448" s="212"/>
      <c r="G448" s="212"/>
      <c r="H448" s="212"/>
      <c r="I448" s="212"/>
      <c r="J448" s="212"/>
      <c r="K448" s="212"/>
      <c r="L448" s="212"/>
      <c r="M448" s="212"/>
      <c r="N448" s="212"/>
      <c r="O448" s="212"/>
      <c r="P448" s="212"/>
      <c r="Q448" s="212"/>
      <c r="R448" s="212"/>
      <c r="S448" s="212"/>
      <c r="T448" s="212"/>
      <c r="U448" s="212"/>
      <c r="V448" s="212"/>
      <c r="W448" s="212"/>
      <c r="X448" s="212"/>
      <c r="Y448" s="212"/>
      <c r="Z448" s="212"/>
      <c r="AA448" s="212"/>
      <c r="AB448" s="212"/>
      <c r="AC448" s="212"/>
      <c r="AD448" s="213"/>
      <c r="AE448" s="214">
        <f>+AD423+AD444</f>
        <v>0</v>
      </c>
      <c r="AF448" s="215"/>
      <c r="AG448" s="215"/>
      <c r="AH448" s="215"/>
      <c r="AI448" s="215"/>
      <c r="AJ448" s="215"/>
      <c r="AK448" s="215"/>
      <c r="AL448" s="215"/>
      <c r="AM448" s="215"/>
      <c r="AN448" s="215"/>
      <c r="AO448" s="215"/>
      <c r="AP448" s="215"/>
      <c r="AQ448" s="215"/>
      <c r="AR448" s="216"/>
      <c r="AS448" s="436"/>
      <c r="AT448" s="437"/>
      <c r="AU448" s="437"/>
      <c r="AV448" s="437"/>
      <c r="AW448" s="437"/>
      <c r="AX448" s="437"/>
    </row>
    <row r="449" spans="1:64" ht="39.950000000000003" customHeight="1">
      <c r="A449" s="266" t="s">
        <v>132</v>
      </c>
      <c r="B449" s="267"/>
      <c r="C449" s="267"/>
      <c r="D449" s="267"/>
      <c r="E449" s="267"/>
      <c r="F449" s="267"/>
      <c r="G449" s="267"/>
      <c r="H449" s="267"/>
      <c r="I449" s="267"/>
      <c r="J449" s="267"/>
      <c r="K449" s="267"/>
      <c r="L449" s="267"/>
      <c r="M449" s="267"/>
      <c r="N449" s="267"/>
      <c r="O449" s="267"/>
      <c r="P449" s="267"/>
      <c r="Q449" s="267"/>
      <c r="R449" s="267"/>
      <c r="S449" s="267"/>
      <c r="T449" s="267"/>
      <c r="U449" s="267"/>
      <c r="V449" s="267"/>
      <c r="W449" s="267"/>
      <c r="X449" s="267"/>
      <c r="Y449" s="267"/>
      <c r="Z449" s="267"/>
      <c r="AA449" s="267"/>
      <c r="AB449" s="267"/>
      <c r="AC449" s="267"/>
      <c r="AD449" s="268"/>
      <c r="AE449" s="214">
        <f>+SUMIF(AO403:AR422,"X",AD403:AL422)+SUMIF(AO429:AR443,"X",AD429:AL443)</f>
        <v>0</v>
      </c>
      <c r="AF449" s="215"/>
      <c r="AG449" s="215"/>
      <c r="AH449" s="215"/>
      <c r="AI449" s="215"/>
      <c r="AJ449" s="215"/>
      <c r="AK449" s="215"/>
      <c r="AL449" s="215"/>
      <c r="AM449" s="215"/>
      <c r="AN449" s="215"/>
      <c r="AO449" s="215"/>
      <c r="AP449" s="215"/>
      <c r="AQ449" s="215"/>
      <c r="AR449" s="216"/>
      <c r="AS449" s="434" t="str">
        <f>+IF((AE449&gt;=(AE448*0.1)),"CUMPLE APORTE","NO CUMPLE APORTE")</f>
        <v>CUMPLE APORTE</v>
      </c>
      <c r="AT449" s="435"/>
      <c r="AU449" s="435"/>
      <c r="AV449" s="435"/>
      <c r="AW449" s="435"/>
      <c r="AX449" s="435"/>
      <c r="AY449" s="101"/>
      <c r="AZ449" s="101"/>
      <c r="BA449" s="101"/>
      <c r="BB449" s="101"/>
      <c r="BC449" s="101"/>
      <c r="BD449" s="101"/>
      <c r="BE449" s="101"/>
      <c r="BF449" s="101"/>
      <c r="BG449" s="101"/>
      <c r="BH449" s="101"/>
      <c r="BI449" s="101"/>
      <c r="BJ449" s="101"/>
      <c r="BK449" s="101"/>
      <c r="BL449" s="101"/>
    </row>
    <row r="450" spans="1:64" ht="39.950000000000003" customHeight="1">
      <c r="A450" s="266" t="s">
        <v>133</v>
      </c>
      <c r="B450" s="267"/>
      <c r="C450" s="267"/>
      <c r="D450" s="267"/>
      <c r="E450" s="267"/>
      <c r="F450" s="267"/>
      <c r="G450" s="267"/>
      <c r="H450" s="267"/>
      <c r="I450" s="267"/>
      <c r="J450" s="267"/>
      <c r="K450" s="267"/>
      <c r="L450" s="267"/>
      <c r="M450" s="267"/>
      <c r="N450" s="267"/>
      <c r="O450" s="267"/>
      <c r="P450" s="267"/>
      <c r="Q450" s="267"/>
      <c r="R450" s="267"/>
      <c r="S450" s="267"/>
      <c r="T450" s="267"/>
      <c r="U450" s="267"/>
      <c r="V450" s="267"/>
      <c r="W450" s="267"/>
      <c r="X450" s="267"/>
      <c r="Y450" s="267"/>
      <c r="Z450" s="267"/>
      <c r="AA450" s="267"/>
      <c r="AB450" s="267"/>
      <c r="AC450" s="267"/>
      <c r="AD450" s="268"/>
      <c r="AE450" s="214">
        <f>+AE448-AE449</f>
        <v>0</v>
      </c>
      <c r="AF450" s="215"/>
      <c r="AG450" s="215"/>
      <c r="AH450" s="215"/>
      <c r="AI450" s="215"/>
      <c r="AJ450" s="215"/>
      <c r="AK450" s="215"/>
      <c r="AL450" s="215"/>
      <c r="AM450" s="215"/>
      <c r="AN450" s="215"/>
      <c r="AO450" s="215"/>
      <c r="AP450" s="215"/>
      <c r="AQ450" s="215"/>
      <c r="AR450" s="216"/>
      <c r="AS450" s="81">
        <v>60000001</v>
      </c>
      <c r="AT450" s="101"/>
      <c r="AU450" s="101"/>
      <c r="AV450" s="101"/>
      <c r="AW450" s="101"/>
      <c r="AX450" s="101"/>
      <c r="AY450" s="101"/>
      <c r="AZ450" s="101"/>
      <c r="BA450" s="101"/>
      <c r="BB450" s="101"/>
      <c r="BC450" s="101"/>
      <c r="BD450" s="101"/>
      <c r="BE450" s="101"/>
      <c r="BF450" s="101"/>
      <c r="BG450" s="101"/>
      <c r="BH450" s="101"/>
      <c r="BI450" s="101"/>
      <c r="BJ450" s="101"/>
      <c r="BK450" s="101"/>
    </row>
    <row r="451" spans="1:64" ht="39.950000000000003" customHeight="1">
      <c r="A451" s="442" t="s">
        <v>1903</v>
      </c>
      <c r="B451" s="443"/>
      <c r="C451" s="443"/>
      <c r="D451" s="443"/>
      <c r="E451" s="443"/>
      <c r="F451" s="443"/>
      <c r="G451" s="443"/>
      <c r="H451" s="443"/>
      <c r="I451" s="443"/>
      <c r="J451" s="443"/>
      <c r="K451" s="443"/>
      <c r="L451" s="443"/>
      <c r="M451" s="443"/>
      <c r="N451" s="443"/>
      <c r="O451" s="443"/>
      <c r="P451" s="443"/>
      <c r="Q451" s="443"/>
      <c r="R451" s="443"/>
      <c r="S451" s="443"/>
      <c r="T451" s="443"/>
      <c r="U451" s="443"/>
      <c r="V451" s="443"/>
      <c r="W451" s="443"/>
      <c r="X451" s="443"/>
      <c r="Y451" s="443"/>
      <c r="Z451" s="443"/>
      <c r="AA451" s="443"/>
      <c r="AB451" s="443"/>
      <c r="AC451" s="443"/>
      <c r="AD451" s="444"/>
      <c r="AE451" s="445"/>
      <c r="AF451" s="446"/>
      <c r="AG451" s="446"/>
      <c r="AH451" s="446"/>
      <c r="AI451" s="446"/>
      <c r="AJ451" s="446"/>
      <c r="AK451" s="446"/>
      <c r="AL451" s="446"/>
      <c r="AM451" s="446"/>
      <c r="AN451" s="446"/>
      <c r="AO451" s="446"/>
      <c r="AP451" s="446"/>
      <c r="AQ451" s="446"/>
      <c r="AR451" s="447"/>
      <c r="AS451" s="81"/>
      <c r="AT451" s="101"/>
      <c r="AU451" s="101"/>
      <c r="AV451" s="101"/>
      <c r="AW451" s="101"/>
      <c r="AX451" s="101"/>
      <c r="AY451" s="101"/>
      <c r="AZ451" s="101"/>
      <c r="BA451" s="101"/>
      <c r="BB451" s="101"/>
      <c r="BC451" s="101"/>
      <c r="BD451" s="101"/>
      <c r="BE451" s="101"/>
      <c r="BF451" s="101"/>
      <c r="BG451" s="101"/>
      <c r="BH451" s="101"/>
      <c r="BI451" s="101"/>
      <c r="BJ451" s="101"/>
      <c r="BK451" s="101"/>
    </row>
    <row r="452" spans="1:64" ht="50.45" customHeight="1">
      <c r="A452" s="450" t="s">
        <v>1902</v>
      </c>
      <c r="B452" s="450"/>
      <c r="C452" s="450"/>
      <c r="D452" s="450"/>
      <c r="E452" s="450"/>
      <c r="F452" s="450"/>
      <c r="G452" s="450"/>
      <c r="H452" s="450"/>
      <c r="I452" s="450"/>
      <c r="J452" s="450"/>
      <c r="K452" s="450"/>
      <c r="L452" s="450"/>
      <c r="M452" s="450"/>
      <c r="N452" s="450"/>
      <c r="O452" s="450"/>
      <c r="P452" s="450"/>
      <c r="Q452" s="450"/>
      <c r="R452" s="450"/>
      <c r="S452" s="450"/>
      <c r="T452" s="450"/>
      <c r="U452" s="450"/>
      <c r="V452" s="450"/>
      <c r="W452" s="450"/>
      <c r="X452" s="450"/>
      <c r="Y452" s="450"/>
      <c r="Z452" s="450"/>
      <c r="AA452" s="450"/>
      <c r="AB452" s="450"/>
      <c r="AC452" s="450"/>
      <c r="AD452" s="451"/>
      <c r="AE452" s="438" t="str">
        <f>+IF(AND(R21="NO",AE450&lt;=AE451,AE450&gt;0),("MONTO SOLICITADO CORRESPONDE LINEA CREAR IND"),("MONTO SOLICITADO NO CORRESPONDE LINEA CREAR IND"))</f>
        <v>MONTO SOLICITADO NO CORRESPONDE LINEA CREAR IND</v>
      </c>
      <c r="AF452" s="439"/>
      <c r="AG452" s="439"/>
      <c r="AH452" s="439"/>
      <c r="AI452" s="439"/>
      <c r="AJ452" s="439"/>
      <c r="AK452" s="439"/>
      <c r="AL452" s="439"/>
      <c r="AM452" s="439"/>
      <c r="AN452" s="439"/>
      <c r="AO452" s="439"/>
      <c r="AP452" s="439"/>
      <c r="AQ452" s="439"/>
      <c r="AR452" s="440"/>
      <c r="AS452" s="448">
        <v>60000000</v>
      </c>
      <c r="AT452" s="448"/>
      <c r="AU452" s="448"/>
      <c r="AV452" s="448"/>
      <c r="AW452" s="448"/>
      <c r="AX452" s="448"/>
    </row>
    <row r="453" spans="1:64" ht="50.45" customHeight="1">
      <c r="A453" s="452"/>
      <c r="B453" s="452"/>
      <c r="C453" s="452"/>
      <c r="D453" s="452"/>
      <c r="E453" s="452"/>
      <c r="F453" s="452"/>
      <c r="G453" s="452"/>
      <c r="H453" s="452"/>
      <c r="I453" s="452"/>
      <c r="J453" s="452"/>
      <c r="K453" s="452"/>
      <c r="L453" s="452"/>
      <c r="M453" s="452"/>
      <c r="N453" s="452"/>
      <c r="O453" s="452"/>
      <c r="P453" s="452"/>
      <c r="Q453" s="452"/>
      <c r="R453" s="452"/>
      <c r="S453" s="452"/>
      <c r="T453" s="452"/>
      <c r="U453" s="452"/>
      <c r="V453" s="452"/>
      <c r="W453" s="452"/>
      <c r="X453" s="452"/>
      <c r="Y453" s="452"/>
      <c r="Z453" s="452"/>
      <c r="AA453" s="452"/>
      <c r="AB453" s="452"/>
      <c r="AC453" s="452"/>
      <c r="AD453" s="453"/>
      <c r="AE453" s="280" t="str">
        <f>+IF(AND(R21="SI",AE450&lt;=AS453),("MONTO SOLICITADO CORRESPONDE LINEA CREAR ASOC"),("MONTO SOLICITADO NO CORRESPONDE LINEA CREAR ASOC"))</f>
        <v>MONTO SOLICITADO NO CORRESPONDE LINEA CREAR ASOC</v>
      </c>
      <c r="AF453" s="281"/>
      <c r="AG453" s="281"/>
      <c r="AH453" s="281"/>
      <c r="AI453" s="281"/>
      <c r="AJ453" s="281"/>
      <c r="AK453" s="281"/>
      <c r="AL453" s="281"/>
      <c r="AM453" s="281"/>
      <c r="AN453" s="281"/>
      <c r="AO453" s="281"/>
      <c r="AP453" s="281"/>
      <c r="AQ453" s="281"/>
      <c r="AR453" s="281"/>
      <c r="AS453" s="449">
        <v>150000001</v>
      </c>
      <c r="AT453" s="449"/>
      <c r="AU453" s="449"/>
      <c r="AV453" s="449"/>
      <c r="AW453" s="449"/>
      <c r="AX453" s="449"/>
    </row>
    <row r="454" spans="1:64" ht="21.75" customHeight="1">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c r="AA454" s="55"/>
      <c r="AB454" s="55"/>
      <c r="AC454" s="55"/>
      <c r="AD454" s="55"/>
      <c r="AE454" s="69"/>
      <c r="AF454" s="69"/>
      <c r="AG454" s="69"/>
      <c r="AH454" s="69"/>
      <c r="AI454" s="69"/>
      <c r="AJ454" s="69"/>
      <c r="AK454" s="69"/>
      <c r="AL454" s="69"/>
      <c r="AM454" s="69"/>
      <c r="AN454" s="69"/>
      <c r="AO454" s="69"/>
      <c r="AP454" s="69"/>
      <c r="AQ454" s="69"/>
      <c r="AR454" s="69"/>
    </row>
    <row r="455" spans="1:64" ht="30" customHeight="1">
      <c r="A455" s="169" t="s">
        <v>1426</v>
      </c>
      <c r="B455" s="169"/>
      <c r="C455" s="169"/>
      <c r="D455" s="169"/>
      <c r="E455" s="169"/>
      <c r="F455" s="169"/>
      <c r="G455" s="169"/>
      <c r="H455" s="169"/>
      <c r="I455" s="169"/>
      <c r="J455" s="169"/>
      <c r="K455" s="169"/>
      <c r="L455" s="169"/>
      <c r="M455" s="169"/>
      <c r="N455" s="169"/>
      <c r="O455" s="169"/>
      <c r="P455" s="169"/>
      <c r="Q455" s="169"/>
      <c r="R455" s="169"/>
      <c r="S455" s="169"/>
      <c r="T455" s="169"/>
      <c r="U455" s="169"/>
      <c r="V455" s="169"/>
      <c r="W455" s="169"/>
      <c r="X455" s="169"/>
      <c r="Y455" s="169"/>
      <c r="Z455" s="169"/>
      <c r="AA455" s="169"/>
      <c r="AB455" s="169"/>
      <c r="AC455" s="169"/>
      <c r="AD455" s="169"/>
      <c r="AE455" s="169"/>
      <c r="AF455" s="169"/>
      <c r="AG455" s="169"/>
      <c r="AH455" s="169"/>
      <c r="AI455" s="169"/>
      <c r="AJ455" s="169"/>
      <c r="AK455" s="169"/>
      <c r="AL455" s="169"/>
      <c r="AM455" s="169"/>
      <c r="AN455" s="169"/>
      <c r="AS455" s="82"/>
    </row>
    <row r="456" spans="1:64" ht="6.95" customHeight="1"/>
    <row r="457" spans="1:64" ht="24">
      <c r="A457" s="58" t="s">
        <v>1427</v>
      </c>
    </row>
    <row r="459" spans="1:64" ht="64.5" customHeight="1">
      <c r="A459" s="260" t="s">
        <v>123</v>
      </c>
      <c r="B459" s="260"/>
      <c r="C459" s="260"/>
      <c r="D459" s="260"/>
      <c r="E459" s="260"/>
      <c r="G459" s="210"/>
      <c r="H459" s="210"/>
      <c r="I459" s="210"/>
      <c r="J459" s="210"/>
      <c r="K459" s="210"/>
      <c r="L459" s="210"/>
      <c r="M459" s="210"/>
      <c r="N459" s="210"/>
      <c r="O459" s="210"/>
      <c r="P459" s="210"/>
      <c r="Q459" s="210"/>
      <c r="R459" s="210"/>
      <c r="S459" s="210"/>
      <c r="T459" s="210"/>
      <c r="U459" s="210"/>
      <c r="V459" s="210"/>
      <c r="W459" s="210"/>
      <c r="X459" s="210"/>
      <c r="Y459" s="210"/>
      <c r="Z459" s="210"/>
      <c r="AA459" s="210"/>
      <c r="AB459" s="210"/>
      <c r="AC459" s="210"/>
      <c r="AD459" s="210"/>
      <c r="AE459" s="210"/>
      <c r="AF459" s="210"/>
      <c r="AG459" s="210"/>
      <c r="AH459" s="210"/>
      <c r="AI459" s="210"/>
      <c r="AJ459" s="210"/>
      <c r="AK459" s="210"/>
      <c r="AL459" s="210"/>
      <c r="AM459" s="210"/>
      <c r="AN459" s="210"/>
    </row>
    <row r="460" spans="1:64" ht="64.5" customHeight="1">
      <c r="A460" s="260" t="s">
        <v>124</v>
      </c>
      <c r="B460" s="260"/>
      <c r="C460" s="260"/>
      <c r="D460" s="260"/>
      <c r="E460" s="260"/>
      <c r="G460" s="210"/>
      <c r="H460" s="210"/>
      <c r="I460" s="210"/>
      <c r="J460" s="210"/>
      <c r="K460" s="210"/>
      <c r="L460" s="210"/>
      <c r="M460" s="210"/>
      <c r="N460" s="210"/>
      <c r="O460" s="210"/>
      <c r="P460" s="210"/>
      <c r="Q460" s="210"/>
      <c r="R460" s="210"/>
      <c r="S460" s="210"/>
      <c r="T460" s="210"/>
      <c r="U460" s="210"/>
      <c r="V460" s="210"/>
      <c r="W460" s="210"/>
      <c r="X460" s="210"/>
      <c r="Y460" s="210"/>
      <c r="Z460" s="210"/>
      <c r="AA460" s="210"/>
      <c r="AB460" s="210"/>
      <c r="AC460" s="210"/>
      <c r="AD460" s="210"/>
      <c r="AE460" s="210"/>
      <c r="AF460" s="210"/>
      <c r="AG460" s="210"/>
      <c r="AH460" s="210"/>
      <c r="AI460" s="210"/>
      <c r="AJ460" s="210"/>
      <c r="AK460" s="210"/>
      <c r="AL460" s="210"/>
      <c r="AM460" s="210"/>
      <c r="AN460" s="210"/>
    </row>
    <row r="461" spans="1:64" ht="64.5" customHeight="1">
      <c r="A461" s="260" t="s">
        <v>126</v>
      </c>
      <c r="B461" s="260"/>
      <c r="C461" s="260"/>
      <c r="D461" s="260"/>
      <c r="E461" s="260"/>
      <c r="G461" s="210"/>
      <c r="H461" s="210"/>
      <c r="I461" s="210"/>
      <c r="J461" s="210"/>
      <c r="K461" s="210"/>
      <c r="L461" s="210"/>
      <c r="M461" s="210"/>
      <c r="N461" s="210"/>
      <c r="O461" s="210"/>
      <c r="P461" s="210"/>
      <c r="Q461" s="210"/>
      <c r="R461" s="210"/>
      <c r="S461" s="210"/>
      <c r="T461" s="210"/>
      <c r="U461" s="210"/>
      <c r="V461" s="210"/>
      <c r="W461" s="210"/>
      <c r="X461" s="210"/>
      <c r="Y461" s="210"/>
      <c r="Z461" s="210"/>
      <c r="AA461" s="210"/>
      <c r="AB461" s="210"/>
      <c r="AC461" s="210"/>
      <c r="AD461" s="210"/>
      <c r="AE461" s="210"/>
      <c r="AF461" s="210"/>
      <c r="AG461" s="210"/>
      <c r="AH461" s="210"/>
      <c r="AI461" s="210"/>
      <c r="AJ461" s="210"/>
      <c r="AK461" s="210"/>
      <c r="AL461" s="210"/>
      <c r="AM461" s="210"/>
      <c r="AN461" s="210"/>
    </row>
    <row r="462" spans="1:64" ht="64.5" customHeight="1">
      <c r="A462" s="260" t="s">
        <v>127</v>
      </c>
      <c r="B462" s="260"/>
      <c r="C462" s="260"/>
      <c r="D462" s="260"/>
      <c r="E462" s="260"/>
      <c r="G462" s="210"/>
      <c r="H462" s="210"/>
      <c r="I462" s="210"/>
      <c r="J462" s="210"/>
      <c r="K462" s="210"/>
      <c r="L462" s="210"/>
      <c r="M462" s="210"/>
      <c r="N462" s="210"/>
      <c r="O462" s="210"/>
      <c r="P462" s="210"/>
      <c r="Q462" s="210"/>
      <c r="R462" s="210"/>
      <c r="S462" s="210"/>
      <c r="T462" s="210"/>
      <c r="U462" s="210"/>
      <c r="V462" s="210"/>
      <c r="W462" s="210"/>
      <c r="X462" s="210"/>
      <c r="Y462" s="210"/>
      <c r="Z462" s="210"/>
      <c r="AA462" s="210"/>
      <c r="AB462" s="210"/>
      <c r="AC462" s="210"/>
      <c r="AD462" s="210"/>
      <c r="AE462" s="210"/>
      <c r="AF462" s="210"/>
      <c r="AG462" s="210"/>
      <c r="AH462" s="210"/>
      <c r="AI462" s="210"/>
      <c r="AJ462" s="210"/>
      <c r="AK462" s="210"/>
      <c r="AL462" s="210"/>
      <c r="AM462" s="210"/>
      <c r="AN462" s="210"/>
    </row>
    <row r="463" spans="1:64" ht="64.5" customHeight="1">
      <c r="A463" s="260" t="s">
        <v>125</v>
      </c>
      <c r="B463" s="260"/>
      <c r="C463" s="260"/>
      <c r="D463" s="260"/>
      <c r="E463" s="260"/>
      <c r="G463" s="210"/>
      <c r="H463" s="210"/>
      <c r="I463" s="210"/>
      <c r="J463" s="210"/>
      <c r="K463" s="210"/>
      <c r="L463" s="210"/>
      <c r="M463" s="210"/>
      <c r="N463" s="210"/>
      <c r="O463" s="210"/>
      <c r="P463" s="210"/>
      <c r="Q463" s="210"/>
      <c r="R463" s="210"/>
      <c r="S463" s="210"/>
      <c r="T463" s="210"/>
      <c r="U463" s="210"/>
      <c r="V463" s="210"/>
      <c r="W463" s="210"/>
      <c r="X463" s="210"/>
      <c r="Y463" s="210"/>
      <c r="Z463" s="210"/>
      <c r="AA463" s="210"/>
      <c r="AB463" s="210"/>
      <c r="AC463" s="210"/>
      <c r="AD463" s="210"/>
      <c r="AE463" s="210"/>
      <c r="AF463" s="210"/>
      <c r="AG463" s="210"/>
      <c r="AH463" s="210"/>
      <c r="AI463" s="210"/>
      <c r="AJ463" s="210"/>
      <c r="AK463" s="210"/>
      <c r="AL463" s="210"/>
      <c r="AM463" s="210"/>
      <c r="AN463" s="210"/>
    </row>
    <row r="464" spans="1:64" ht="24">
      <c r="A464" s="58"/>
      <c r="B464" s="58"/>
      <c r="C464" s="58"/>
      <c r="D464" s="58"/>
      <c r="E464" s="58"/>
    </row>
    <row r="465" spans="1:44" ht="30" customHeight="1">
      <c r="A465" s="217" t="s">
        <v>1388</v>
      </c>
      <c r="B465" s="217"/>
      <c r="C465" s="217"/>
      <c r="D465" s="217"/>
      <c r="E465" s="217"/>
      <c r="F465" s="217"/>
      <c r="G465" s="217"/>
      <c r="H465" s="217"/>
      <c r="I465" s="217"/>
      <c r="J465" s="217"/>
      <c r="K465" s="217"/>
      <c r="L465" s="217"/>
      <c r="M465" s="217"/>
      <c r="N465" s="217"/>
      <c r="O465" s="217"/>
      <c r="P465" s="217"/>
      <c r="Q465" s="217"/>
      <c r="R465" s="217"/>
      <c r="S465" s="217"/>
      <c r="T465" s="217"/>
      <c r="U465" s="217"/>
      <c r="V465" s="217"/>
      <c r="W465" s="217"/>
      <c r="X465" s="217"/>
      <c r="Y465" s="217"/>
      <c r="Z465" s="217"/>
      <c r="AA465" s="217"/>
      <c r="AB465" s="217"/>
      <c r="AC465" s="217"/>
      <c r="AD465" s="217"/>
      <c r="AE465" s="217"/>
      <c r="AF465" s="217"/>
      <c r="AG465" s="217"/>
      <c r="AH465" s="217"/>
      <c r="AI465" s="217"/>
      <c r="AJ465" s="217"/>
      <c r="AK465" s="217"/>
      <c r="AL465" s="217"/>
      <c r="AM465" s="217"/>
      <c r="AN465" s="217"/>
    </row>
    <row r="466" spans="1:44" ht="105" customHeight="1">
      <c r="A466" s="218" t="s">
        <v>1877</v>
      </c>
      <c r="B466" s="218"/>
      <c r="C466" s="218"/>
      <c r="D466" s="218"/>
      <c r="E466" s="218"/>
      <c r="F466" s="218"/>
      <c r="G466" s="218"/>
      <c r="H466" s="218"/>
      <c r="I466" s="218"/>
      <c r="J466" s="218"/>
      <c r="K466" s="218"/>
      <c r="L466" s="218"/>
      <c r="M466" s="218"/>
      <c r="N466" s="218"/>
      <c r="O466" s="218"/>
      <c r="P466" s="218"/>
      <c r="Q466" s="218"/>
      <c r="R466" s="218"/>
      <c r="S466" s="218"/>
      <c r="T466" s="218"/>
      <c r="U466" s="218"/>
      <c r="V466" s="218"/>
      <c r="W466" s="218"/>
      <c r="X466" s="218"/>
      <c r="Y466" s="218"/>
      <c r="Z466" s="218"/>
      <c r="AA466" s="218"/>
      <c r="AB466" s="218"/>
      <c r="AC466" s="218"/>
      <c r="AD466" s="218"/>
      <c r="AE466" s="218"/>
      <c r="AF466" s="218"/>
      <c r="AG466" s="218"/>
      <c r="AH466" s="218"/>
      <c r="AI466" s="218"/>
      <c r="AJ466" s="218"/>
      <c r="AK466" s="218"/>
      <c r="AL466" s="218"/>
      <c r="AM466" s="218"/>
      <c r="AN466" s="218"/>
    </row>
    <row r="467" spans="1:44" ht="16.5" customHeight="1">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c r="AA467" s="59"/>
      <c r="AB467" s="59"/>
      <c r="AC467" s="59"/>
      <c r="AD467" s="59"/>
      <c r="AE467" s="59"/>
      <c r="AF467" s="59"/>
      <c r="AG467" s="59"/>
      <c r="AH467" s="59"/>
      <c r="AI467" s="59"/>
      <c r="AJ467" s="59"/>
      <c r="AK467" s="59"/>
      <c r="AL467" s="59"/>
      <c r="AM467" s="59"/>
      <c r="AN467" s="59"/>
    </row>
    <row r="468" spans="1:44" ht="43.5" customHeight="1">
      <c r="A468" s="454" t="s">
        <v>128</v>
      </c>
      <c r="B468" s="455"/>
      <c r="C468" s="455"/>
      <c r="D468" s="455"/>
      <c r="E468" s="455"/>
      <c r="F468" s="455"/>
      <c r="G468" s="455"/>
      <c r="H468" s="456"/>
      <c r="I468" s="204" t="s">
        <v>1392</v>
      </c>
      <c r="J468" s="205"/>
      <c r="K468" s="205"/>
      <c r="L468" s="206"/>
      <c r="M468" s="204" t="s">
        <v>1393</v>
      </c>
      <c r="N468" s="205"/>
      <c r="O468" s="205"/>
      <c r="P468" s="206"/>
      <c r="Q468" s="204" t="s">
        <v>1394</v>
      </c>
      <c r="R468" s="205"/>
      <c r="S468" s="205"/>
      <c r="T468" s="206"/>
      <c r="U468" s="204" t="s">
        <v>1395</v>
      </c>
      <c r="V468" s="205"/>
      <c r="W468" s="205"/>
      <c r="X468" s="206"/>
      <c r="Y468" s="204" t="s">
        <v>1396</v>
      </c>
      <c r="Z468" s="205"/>
      <c r="AA468" s="205"/>
      <c r="AB468" s="206"/>
      <c r="AC468" s="204" t="s">
        <v>1397</v>
      </c>
      <c r="AD468" s="205"/>
      <c r="AE468" s="205"/>
      <c r="AF468" s="206"/>
      <c r="AG468" s="204" t="s">
        <v>1398</v>
      </c>
      <c r="AH468" s="205"/>
      <c r="AI468" s="205"/>
      <c r="AJ468" s="206"/>
      <c r="AK468" s="204" t="s">
        <v>1399</v>
      </c>
      <c r="AL468" s="205"/>
      <c r="AM468" s="205"/>
      <c r="AN468" s="206"/>
      <c r="AO468" s="204" t="s">
        <v>1400</v>
      </c>
      <c r="AP468" s="205"/>
      <c r="AQ468" s="205"/>
      <c r="AR468" s="206"/>
    </row>
    <row r="469" spans="1:44" ht="39.950000000000003" customHeight="1">
      <c r="A469" s="172"/>
      <c r="B469" s="173"/>
      <c r="C469" s="173"/>
      <c r="D469" s="173"/>
      <c r="E469" s="173"/>
      <c r="F469" s="173"/>
      <c r="G469" s="173"/>
      <c r="H469" s="174"/>
      <c r="I469" s="113">
        <v>15</v>
      </c>
      <c r="J469" s="113"/>
      <c r="K469" s="113"/>
      <c r="L469" s="114"/>
      <c r="M469" s="113"/>
      <c r="N469" s="113"/>
      <c r="O469" s="113"/>
      <c r="P469" s="114"/>
      <c r="Q469" s="113"/>
      <c r="R469" s="113"/>
      <c r="S469" s="113"/>
      <c r="T469" s="114"/>
      <c r="U469" s="113"/>
      <c r="V469" s="113"/>
      <c r="W469" s="113"/>
      <c r="X469" s="114"/>
      <c r="Y469" s="113"/>
      <c r="Z469" s="113"/>
      <c r="AA469" s="113"/>
      <c r="AB469" s="114"/>
      <c r="AC469" s="113"/>
      <c r="AD469" s="113"/>
      <c r="AE469" s="113"/>
      <c r="AF469" s="114"/>
      <c r="AG469" s="113"/>
      <c r="AH469" s="113"/>
      <c r="AI469" s="113"/>
      <c r="AJ469" s="114"/>
      <c r="AK469" s="113"/>
      <c r="AL469" s="113"/>
      <c r="AM469" s="113"/>
      <c r="AN469" s="114"/>
      <c r="AO469" s="113"/>
      <c r="AP469" s="113"/>
      <c r="AQ469" s="113"/>
      <c r="AR469" s="114"/>
    </row>
    <row r="470" spans="1:44" ht="39.950000000000003" customHeight="1">
      <c r="A470" s="172"/>
      <c r="B470" s="173"/>
      <c r="C470" s="173"/>
      <c r="D470" s="173"/>
      <c r="E470" s="173"/>
      <c r="F470" s="173"/>
      <c r="G470" s="173"/>
      <c r="H470" s="174"/>
      <c r="I470" s="113"/>
      <c r="J470" s="113"/>
      <c r="K470" s="113"/>
      <c r="L470" s="114"/>
      <c r="M470" s="113"/>
      <c r="N470" s="113"/>
      <c r="O470" s="113"/>
      <c r="P470" s="114"/>
      <c r="Q470" s="113"/>
      <c r="R470" s="113"/>
      <c r="S470" s="113"/>
      <c r="T470" s="114"/>
      <c r="U470" s="113"/>
      <c r="V470" s="113"/>
      <c r="W470" s="113"/>
      <c r="X470" s="114"/>
      <c r="Y470" s="113"/>
      <c r="Z470" s="113"/>
      <c r="AA470" s="113"/>
      <c r="AB470" s="114"/>
      <c r="AC470" s="113"/>
      <c r="AD470" s="113"/>
      <c r="AE470" s="113"/>
      <c r="AF470" s="114"/>
      <c r="AG470" s="113"/>
      <c r="AH470" s="113"/>
      <c r="AI470" s="113"/>
      <c r="AJ470" s="114"/>
      <c r="AK470" s="113"/>
      <c r="AL470" s="113"/>
      <c r="AM470" s="113"/>
      <c r="AN470" s="114"/>
      <c r="AO470" s="113"/>
      <c r="AP470" s="113"/>
      <c r="AQ470" s="113"/>
      <c r="AR470" s="114"/>
    </row>
    <row r="471" spans="1:44" ht="39.950000000000003" customHeight="1">
      <c r="A471" s="172"/>
      <c r="B471" s="173"/>
      <c r="C471" s="173"/>
      <c r="D471" s="173"/>
      <c r="E471" s="173"/>
      <c r="F471" s="173"/>
      <c r="G471" s="173"/>
      <c r="H471" s="174"/>
      <c r="I471" s="113"/>
      <c r="J471" s="113"/>
      <c r="K471" s="113"/>
      <c r="L471" s="114"/>
      <c r="M471" s="113"/>
      <c r="N471" s="113"/>
      <c r="O471" s="113"/>
      <c r="P471" s="114"/>
      <c r="Q471" s="113"/>
      <c r="R471" s="113"/>
      <c r="S471" s="113"/>
      <c r="T471" s="114"/>
      <c r="U471" s="113"/>
      <c r="V471" s="113"/>
      <c r="W471" s="113"/>
      <c r="X471" s="114"/>
      <c r="Y471" s="113"/>
      <c r="Z471" s="113"/>
      <c r="AA471" s="113"/>
      <c r="AB471" s="114"/>
      <c r="AC471" s="113"/>
      <c r="AD471" s="113"/>
      <c r="AE471" s="113"/>
      <c r="AF471" s="114"/>
      <c r="AG471" s="113"/>
      <c r="AH471" s="113"/>
      <c r="AI471" s="113"/>
      <c r="AJ471" s="114"/>
      <c r="AK471" s="113"/>
      <c r="AL471" s="113"/>
      <c r="AM471" s="113"/>
      <c r="AN471" s="114"/>
      <c r="AO471" s="113"/>
      <c r="AP471" s="113"/>
      <c r="AQ471" s="113"/>
      <c r="AR471" s="114"/>
    </row>
    <row r="472" spans="1:44" ht="39.950000000000003" customHeight="1">
      <c r="A472" s="172"/>
      <c r="B472" s="173"/>
      <c r="C472" s="173"/>
      <c r="D472" s="173"/>
      <c r="E472" s="173"/>
      <c r="F472" s="173"/>
      <c r="G472" s="173"/>
      <c r="H472" s="174"/>
      <c r="I472" s="113"/>
      <c r="J472" s="113"/>
      <c r="K472" s="113"/>
      <c r="L472" s="114"/>
      <c r="M472" s="113"/>
      <c r="N472" s="113"/>
      <c r="O472" s="113"/>
      <c r="P472" s="114"/>
      <c r="Q472" s="113"/>
      <c r="R472" s="113"/>
      <c r="S472" s="113"/>
      <c r="T472" s="114"/>
      <c r="U472" s="113"/>
      <c r="V472" s="113"/>
      <c r="W472" s="113"/>
      <c r="X472" s="114"/>
      <c r="Y472" s="113"/>
      <c r="Z472" s="113"/>
      <c r="AA472" s="113"/>
      <c r="AB472" s="114"/>
      <c r="AC472" s="113"/>
      <c r="AD472" s="113"/>
      <c r="AE472" s="113"/>
      <c r="AF472" s="114"/>
      <c r="AG472" s="113"/>
      <c r="AH472" s="113"/>
      <c r="AI472" s="113"/>
      <c r="AJ472" s="114"/>
      <c r="AK472" s="113"/>
      <c r="AL472" s="113"/>
      <c r="AM472" s="113"/>
      <c r="AN472" s="114"/>
      <c r="AO472" s="113"/>
      <c r="AP472" s="113"/>
      <c r="AQ472" s="113"/>
      <c r="AR472" s="114"/>
    </row>
    <row r="473" spans="1:44" ht="39.950000000000003" customHeight="1">
      <c r="A473" s="172"/>
      <c r="B473" s="173"/>
      <c r="C473" s="173"/>
      <c r="D473" s="173"/>
      <c r="E473" s="173"/>
      <c r="F473" s="173"/>
      <c r="G473" s="173"/>
      <c r="H473" s="174"/>
      <c r="I473" s="113"/>
      <c r="J473" s="113"/>
      <c r="K473" s="113"/>
      <c r="L473" s="114"/>
      <c r="M473" s="113"/>
      <c r="N473" s="113"/>
      <c r="O473" s="113"/>
      <c r="P473" s="114"/>
      <c r="Q473" s="113"/>
      <c r="R473" s="113"/>
      <c r="S473" s="113"/>
      <c r="T473" s="114"/>
      <c r="U473" s="113"/>
      <c r="V473" s="113"/>
      <c r="W473" s="113"/>
      <c r="X473" s="114"/>
      <c r="Y473" s="113"/>
      <c r="Z473" s="113"/>
      <c r="AA473" s="113"/>
      <c r="AB473" s="114"/>
      <c r="AC473" s="113"/>
      <c r="AD473" s="113"/>
      <c r="AE473" s="113"/>
      <c r="AF473" s="114"/>
      <c r="AG473" s="113"/>
      <c r="AH473" s="113"/>
      <c r="AI473" s="113"/>
      <c r="AJ473" s="114"/>
      <c r="AK473" s="113"/>
      <c r="AL473" s="113"/>
      <c r="AM473" s="113"/>
      <c r="AN473" s="114"/>
      <c r="AO473" s="113"/>
      <c r="AP473" s="113"/>
      <c r="AQ473" s="113"/>
      <c r="AR473" s="114"/>
    </row>
    <row r="474" spans="1:44" ht="39.950000000000003" customHeight="1">
      <c r="A474" s="172"/>
      <c r="B474" s="173"/>
      <c r="C474" s="173"/>
      <c r="D474" s="173"/>
      <c r="E474" s="173"/>
      <c r="F474" s="173"/>
      <c r="G474" s="173"/>
      <c r="H474" s="174"/>
      <c r="I474" s="113"/>
      <c r="J474" s="113"/>
      <c r="K474" s="113"/>
      <c r="L474" s="114"/>
      <c r="M474" s="113"/>
      <c r="N474" s="113"/>
      <c r="O474" s="113"/>
      <c r="P474" s="114"/>
      <c r="Q474" s="113"/>
      <c r="R474" s="113"/>
      <c r="S474" s="113"/>
      <c r="T474" s="114"/>
      <c r="U474" s="113"/>
      <c r="V474" s="113"/>
      <c r="W474" s="113"/>
      <c r="X474" s="114"/>
      <c r="Y474" s="113"/>
      <c r="Z474" s="113"/>
      <c r="AA474" s="113"/>
      <c r="AB474" s="114"/>
      <c r="AC474" s="113"/>
      <c r="AD474" s="113"/>
      <c r="AE474" s="113"/>
      <c r="AF474" s="114"/>
      <c r="AG474" s="113"/>
      <c r="AH474" s="113"/>
      <c r="AI474" s="113"/>
      <c r="AJ474" s="114"/>
      <c r="AK474" s="113"/>
      <c r="AL474" s="113"/>
      <c r="AM474" s="113"/>
      <c r="AN474" s="114"/>
      <c r="AO474" s="113"/>
      <c r="AP474" s="113"/>
      <c r="AQ474" s="113"/>
      <c r="AR474" s="114"/>
    </row>
    <row r="475" spans="1:44" ht="39.950000000000003" customHeight="1">
      <c r="A475" s="172"/>
      <c r="B475" s="173"/>
      <c r="C475" s="173"/>
      <c r="D475" s="173"/>
      <c r="E475" s="173"/>
      <c r="F475" s="173"/>
      <c r="G475" s="173"/>
      <c r="H475" s="174"/>
      <c r="I475" s="113"/>
      <c r="J475" s="113"/>
      <c r="K475" s="113"/>
      <c r="L475" s="114"/>
      <c r="M475" s="113"/>
      <c r="N475" s="113"/>
      <c r="O475" s="113"/>
      <c r="P475" s="114"/>
      <c r="Q475" s="113"/>
      <c r="R475" s="113"/>
      <c r="S475" s="113"/>
      <c r="T475" s="114"/>
      <c r="U475" s="113"/>
      <c r="V475" s="113"/>
      <c r="W475" s="113"/>
      <c r="X475" s="114"/>
      <c r="Y475" s="113"/>
      <c r="Z475" s="113"/>
      <c r="AA475" s="113"/>
      <c r="AB475" s="114"/>
      <c r="AC475" s="113"/>
      <c r="AD475" s="113"/>
      <c r="AE475" s="113"/>
      <c r="AF475" s="114"/>
      <c r="AG475" s="113"/>
      <c r="AH475" s="113"/>
      <c r="AI475" s="113"/>
      <c r="AJ475" s="114"/>
      <c r="AK475" s="113"/>
      <c r="AL475" s="113"/>
      <c r="AM475" s="113"/>
      <c r="AN475" s="114"/>
      <c r="AO475" s="113"/>
      <c r="AP475" s="113"/>
      <c r="AQ475" s="113"/>
      <c r="AR475" s="114"/>
    </row>
    <row r="476" spans="1:44" ht="39.950000000000003" customHeight="1">
      <c r="A476" s="172"/>
      <c r="B476" s="173"/>
      <c r="C476" s="173"/>
      <c r="D476" s="173"/>
      <c r="E476" s="173"/>
      <c r="F476" s="173"/>
      <c r="G476" s="173"/>
      <c r="H476" s="174"/>
      <c r="I476" s="113"/>
      <c r="J476" s="113"/>
      <c r="K476" s="113"/>
      <c r="L476" s="114"/>
      <c r="M476" s="113"/>
      <c r="N476" s="113"/>
      <c r="O476" s="113"/>
      <c r="P476" s="114"/>
      <c r="Q476" s="113"/>
      <c r="R476" s="113"/>
      <c r="S476" s="113"/>
      <c r="T476" s="114"/>
      <c r="U476" s="113"/>
      <c r="V476" s="113"/>
      <c r="W476" s="113"/>
      <c r="X476" s="114"/>
      <c r="Y476" s="113"/>
      <c r="Z476" s="113"/>
      <c r="AA476" s="113"/>
      <c r="AB476" s="114"/>
      <c r="AC476" s="113"/>
      <c r="AD476" s="113"/>
      <c r="AE476" s="113"/>
      <c r="AF476" s="114"/>
      <c r="AG476" s="113"/>
      <c r="AH476" s="113"/>
      <c r="AI476" s="113"/>
      <c r="AJ476" s="114"/>
      <c r="AK476" s="113"/>
      <c r="AL476" s="113"/>
      <c r="AM476" s="113"/>
      <c r="AN476" s="114"/>
      <c r="AO476" s="113"/>
      <c r="AP476" s="113"/>
      <c r="AQ476" s="113"/>
      <c r="AR476" s="114"/>
    </row>
    <row r="477" spans="1:44" ht="39.950000000000003" customHeight="1">
      <c r="A477" s="172"/>
      <c r="B477" s="173"/>
      <c r="C477" s="173"/>
      <c r="D477" s="173"/>
      <c r="E477" s="173"/>
      <c r="F477" s="173"/>
      <c r="G477" s="173"/>
      <c r="H477" s="174"/>
      <c r="I477" s="113"/>
      <c r="J477" s="113"/>
      <c r="K477" s="113"/>
      <c r="L477" s="114"/>
      <c r="M477" s="113"/>
      <c r="N477" s="113"/>
      <c r="O477" s="113"/>
      <c r="P477" s="114"/>
      <c r="Q477" s="113"/>
      <c r="R477" s="113"/>
      <c r="S477" s="113"/>
      <c r="T477" s="114"/>
      <c r="U477" s="113"/>
      <c r="V477" s="113"/>
      <c r="W477" s="113"/>
      <c r="X477" s="114"/>
      <c r="Y477" s="113"/>
      <c r="Z477" s="113"/>
      <c r="AA477" s="113"/>
      <c r="AB477" s="114"/>
      <c r="AC477" s="113"/>
      <c r="AD477" s="113"/>
      <c r="AE477" s="113"/>
      <c r="AF477" s="114"/>
      <c r="AG477" s="113"/>
      <c r="AH477" s="113"/>
      <c r="AI477" s="113"/>
      <c r="AJ477" s="114"/>
      <c r="AK477" s="113"/>
      <c r="AL477" s="113"/>
      <c r="AM477" s="113"/>
      <c r="AN477" s="114"/>
      <c r="AO477" s="113"/>
      <c r="AP477" s="113"/>
      <c r="AQ477" s="113"/>
      <c r="AR477" s="114"/>
    </row>
    <row r="478" spans="1:44" ht="39.950000000000003" customHeight="1">
      <c r="A478" s="182"/>
      <c r="B478" s="183"/>
      <c r="C478" s="183"/>
      <c r="D478" s="183"/>
      <c r="E478" s="183"/>
      <c r="F478" s="183"/>
      <c r="G478" s="183"/>
      <c r="H478" s="184"/>
      <c r="I478" s="170"/>
      <c r="J478" s="170"/>
      <c r="K478" s="170"/>
      <c r="L478" s="171"/>
      <c r="M478" s="170"/>
      <c r="N478" s="170"/>
      <c r="O478" s="170"/>
      <c r="P478" s="171"/>
      <c r="Q478" s="170"/>
      <c r="R478" s="170"/>
      <c r="S478" s="170"/>
      <c r="T478" s="171"/>
      <c r="U478" s="170"/>
      <c r="V478" s="170"/>
      <c r="W478" s="170"/>
      <c r="X478" s="171"/>
      <c r="Y478" s="170"/>
      <c r="Z478" s="170"/>
      <c r="AA478" s="170"/>
      <c r="AB478" s="171"/>
      <c r="AC478" s="170"/>
      <c r="AD478" s="170"/>
      <c r="AE478" s="170"/>
      <c r="AF478" s="171"/>
      <c r="AG478" s="170"/>
      <c r="AH478" s="170"/>
      <c r="AI478" s="170"/>
      <c r="AJ478" s="171"/>
      <c r="AK478" s="170"/>
      <c r="AL478" s="170"/>
      <c r="AM478" s="170"/>
      <c r="AN478" s="171"/>
      <c r="AO478" s="170"/>
      <c r="AP478" s="170"/>
      <c r="AQ478" s="170"/>
      <c r="AR478" s="171"/>
    </row>
    <row r="479" spans="1:44" ht="37.5" customHeight="1">
      <c r="A479" s="192" t="s">
        <v>78</v>
      </c>
      <c r="B479" s="193"/>
      <c r="C479" s="193"/>
      <c r="D479" s="193"/>
      <c r="E479" s="193"/>
      <c r="F479" s="193"/>
      <c r="G479" s="193"/>
      <c r="H479" s="194"/>
      <c r="I479" s="203">
        <f>SUM(I469:L478)</f>
        <v>15</v>
      </c>
      <c r="J479" s="191"/>
      <c r="K479" s="191"/>
      <c r="L479" s="191"/>
      <c r="M479" s="190">
        <f>SUM(M469:P478)</f>
        <v>0</v>
      </c>
      <c r="N479" s="191"/>
      <c r="O479" s="191"/>
      <c r="P479" s="191"/>
      <c r="Q479" s="190">
        <f>SUM(Q469:T478)</f>
        <v>0</v>
      </c>
      <c r="R479" s="191"/>
      <c r="S479" s="191"/>
      <c r="T479" s="191"/>
      <c r="U479" s="190">
        <f>SUM(U469:X478)</f>
        <v>0</v>
      </c>
      <c r="V479" s="191"/>
      <c r="W479" s="191"/>
      <c r="X479" s="191"/>
      <c r="Y479" s="190">
        <f>SUM(Y469:AB478)</f>
        <v>0</v>
      </c>
      <c r="Z479" s="191"/>
      <c r="AA479" s="191"/>
      <c r="AB479" s="191"/>
      <c r="AC479" s="190">
        <f>SUM(AC469:AF478)</f>
        <v>0</v>
      </c>
      <c r="AD479" s="191"/>
      <c r="AE479" s="191"/>
      <c r="AF479" s="191"/>
      <c r="AG479" s="190">
        <f>SUM(AG469:AJ478)</f>
        <v>0</v>
      </c>
      <c r="AH479" s="191"/>
      <c r="AI479" s="191"/>
      <c r="AJ479" s="191"/>
      <c r="AK479" s="190">
        <f>SUM(AK469:AN478)</f>
        <v>0</v>
      </c>
      <c r="AL479" s="191"/>
      <c r="AM479" s="191"/>
      <c r="AN479" s="191"/>
      <c r="AO479" s="190">
        <f>SUM(AO469:AR478)</f>
        <v>0</v>
      </c>
      <c r="AP479" s="191"/>
      <c r="AQ479" s="191"/>
      <c r="AR479" s="191"/>
    </row>
    <row r="481" spans="1:41" ht="43.5" customHeight="1">
      <c r="A481" s="115" t="s">
        <v>1444</v>
      </c>
      <c r="B481" s="116"/>
      <c r="C481" s="116"/>
      <c r="D481" s="116"/>
      <c r="E481" s="116"/>
      <c r="F481" s="116"/>
      <c r="G481" s="116"/>
      <c r="H481" s="117"/>
      <c r="I481" s="176">
        <f>+SUM(I479:AR479)</f>
        <v>15</v>
      </c>
      <c r="J481" s="177"/>
      <c r="K481" s="177"/>
      <c r="L481" s="177"/>
      <c r="M481" s="177"/>
      <c r="N481" s="177"/>
      <c r="O481" s="177"/>
      <c r="P481" s="178"/>
      <c r="Q481" s="179" t="str">
        <f>IF(I481=AE450,"CORRESPONDE A VALOR SOLICITADO AL FONDO","NO CORRESPONDE A VALOR SOLICITADO AL FONDO")</f>
        <v>NO CORRESPONDE A VALOR SOLICITADO AL FONDO</v>
      </c>
      <c r="R481" s="180"/>
      <c r="S481" s="180"/>
      <c r="T481" s="180"/>
      <c r="U481" s="180"/>
      <c r="V481" s="180"/>
      <c r="W481" s="180"/>
      <c r="X481" s="180"/>
      <c r="Y481" s="180"/>
      <c r="Z481" s="180"/>
      <c r="AA481" s="180"/>
      <c r="AB481" s="180"/>
      <c r="AC481" s="180"/>
      <c r="AD481" s="180"/>
      <c r="AE481" s="180"/>
      <c r="AF481" s="180"/>
      <c r="AG481" s="180"/>
      <c r="AH481" s="180"/>
      <c r="AI481" s="181"/>
    </row>
    <row r="483" spans="1:41" ht="28.5">
      <c r="A483" s="198" t="s">
        <v>1194</v>
      </c>
      <c r="B483" s="198"/>
      <c r="C483" s="198"/>
      <c r="D483" s="198"/>
      <c r="E483" s="198"/>
      <c r="F483" s="198"/>
      <c r="G483" s="198"/>
      <c r="H483" s="198"/>
      <c r="I483" s="198"/>
      <c r="J483" s="198"/>
      <c r="K483" s="198"/>
      <c r="L483" s="198"/>
      <c r="M483" s="198"/>
      <c r="N483" s="198"/>
      <c r="O483" s="198"/>
      <c r="P483" s="198"/>
      <c r="Q483" s="198"/>
      <c r="R483" s="198"/>
      <c r="S483" s="198"/>
      <c r="T483" s="198"/>
      <c r="U483" s="198"/>
      <c r="V483" s="198"/>
      <c r="W483" s="198"/>
      <c r="X483" s="198"/>
      <c r="Y483" s="198"/>
      <c r="Z483" s="198"/>
      <c r="AA483" s="198"/>
      <c r="AB483" s="198"/>
      <c r="AC483" s="198"/>
      <c r="AD483" s="198"/>
      <c r="AE483" s="198"/>
      <c r="AF483" s="198"/>
      <c r="AG483" s="198"/>
      <c r="AH483" s="198"/>
      <c r="AI483" s="198"/>
      <c r="AJ483" s="198"/>
      <c r="AK483" s="198"/>
      <c r="AL483" s="198"/>
      <c r="AM483" s="198"/>
      <c r="AN483" s="198"/>
    </row>
    <row r="484" spans="1:41" s="60" customFormat="1" ht="30" customHeight="1">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c r="AA484" s="59"/>
      <c r="AB484" s="59"/>
      <c r="AC484" s="59"/>
      <c r="AD484" s="59"/>
      <c r="AE484" s="59"/>
      <c r="AF484" s="59"/>
      <c r="AG484" s="59"/>
      <c r="AH484" s="59"/>
      <c r="AI484" s="59"/>
      <c r="AJ484" s="59"/>
      <c r="AK484" s="59"/>
      <c r="AL484" s="59"/>
      <c r="AM484" s="59"/>
      <c r="AN484" s="59"/>
    </row>
    <row r="485" spans="1:41" s="60" customFormat="1" ht="45" customHeight="1">
      <c r="A485" s="218" t="s">
        <v>1428</v>
      </c>
      <c r="B485" s="218"/>
      <c r="C485" s="218"/>
      <c r="D485" s="218"/>
      <c r="E485" s="218"/>
      <c r="F485" s="218"/>
      <c r="G485" s="218"/>
      <c r="H485" s="218"/>
      <c r="I485" s="218"/>
      <c r="J485" s="218"/>
      <c r="K485" s="218"/>
      <c r="L485" s="218"/>
      <c r="M485" s="218"/>
      <c r="N485" s="218"/>
      <c r="O485" s="218"/>
      <c r="P485" s="218"/>
      <c r="Q485" s="218"/>
      <c r="R485" s="218"/>
      <c r="S485" s="218"/>
      <c r="T485" s="218"/>
      <c r="U485" s="218"/>
      <c r="V485" s="218"/>
      <c r="W485" s="218"/>
      <c r="X485" s="218"/>
      <c r="Y485" s="218"/>
      <c r="Z485" s="218"/>
      <c r="AA485" s="218"/>
      <c r="AB485" s="218"/>
      <c r="AC485" s="218"/>
      <c r="AD485" s="218"/>
      <c r="AE485" s="218"/>
      <c r="AF485" s="218"/>
      <c r="AG485" s="218"/>
      <c r="AH485" s="218"/>
      <c r="AI485" s="218"/>
      <c r="AJ485" s="218"/>
      <c r="AK485" s="218"/>
      <c r="AL485" s="218"/>
      <c r="AM485" s="218"/>
      <c r="AN485" s="218"/>
      <c r="AO485" s="218"/>
    </row>
    <row r="486" spans="1:41" s="60" customFormat="1" ht="30" customHeight="1">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c r="AA486" s="59"/>
      <c r="AB486" s="59"/>
      <c r="AC486" s="59"/>
      <c r="AD486" s="59"/>
      <c r="AE486" s="59"/>
      <c r="AF486" s="59"/>
      <c r="AG486" s="59"/>
      <c r="AH486" s="59"/>
      <c r="AI486" s="59"/>
      <c r="AJ486" s="59"/>
      <c r="AK486" s="59"/>
      <c r="AL486" s="59"/>
      <c r="AM486" s="59"/>
      <c r="AN486" s="59"/>
    </row>
    <row r="487" spans="1:41" s="60" customFormat="1" ht="68.25" customHeight="1">
      <c r="A487" s="413" t="s">
        <v>135</v>
      </c>
      <c r="B487" s="413"/>
      <c r="C487" s="413"/>
      <c r="D487" s="413"/>
      <c r="E487" s="413"/>
      <c r="F487" s="413"/>
      <c r="G487" s="413"/>
      <c r="H487" s="413"/>
      <c r="I487" s="413"/>
      <c r="J487" s="413"/>
      <c r="K487" s="414"/>
      <c r="L487" s="414"/>
      <c r="M487" s="414"/>
      <c r="N487" s="414"/>
      <c r="O487" s="414"/>
      <c r="P487" s="414"/>
      <c r="Q487" s="414"/>
      <c r="R487" s="414"/>
      <c r="S487" s="414"/>
      <c r="T487" s="414"/>
      <c r="U487" s="414"/>
      <c r="V487" s="414"/>
      <c r="W487" s="414"/>
      <c r="X487" s="414"/>
      <c r="Y487" s="414"/>
      <c r="Z487" s="414"/>
      <c r="AA487" s="414"/>
      <c r="AB487" s="414"/>
      <c r="AC487" s="414"/>
      <c r="AD487" s="414"/>
      <c r="AE487" s="414"/>
      <c r="AF487" s="414"/>
      <c r="AG487" s="414"/>
      <c r="AH487" s="414"/>
      <c r="AI487" s="414"/>
      <c r="AJ487" s="414"/>
      <c r="AK487" s="414"/>
      <c r="AL487" s="414"/>
      <c r="AM487" s="414"/>
      <c r="AN487" s="414"/>
      <c r="AO487" s="414"/>
    </row>
    <row r="488" spans="1:41" s="60" customFormat="1" ht="68.25" customHeight="1">
      <c r="A488" s="413" t="s">
        <v>127</v>
      </c>
      <c r="B488" s="413"/>
      <c r="C488" s="413"/>
      <c r="D488" s="413"/>
      <c r="E488" s="413"/>
      <c r="F488" s="413"/>
      <c r="G488" s="413"/>
      <c r="H488" s="413"/>
      <c r="I488" s="413"/>
      <c r="J488" s="413"/>
      <c r="K488" s="414"/>
      <c r="L488" s="414"/>
      <c r="M488" s="414"/>
      <c r="N488" s="414"/>
      <c r="O488" s="414"/>
      <c r="P488" s="414"/>
      <c r="Q488" s="414"/>
      <c r="R488" s="414"/>
      <c r="S488" s="414"/>
      <c r="T488" s="414"/>
      <c r="U488" s="414"/>
      <c r="V488" s="414"/>
      <c r="W488" s="414"/>
      <c r="X488" s="414"/>
      <c r="Y488" s="414"/>
      <c r="Z488" s="414"/>
      <c r="AA488" s="414"/>
      <c r="AB488" s="414"/>
      <c r="AC488" s="414"/>
      <c r="AD488" s="414"/>
      <c r="AE488" s="414"/>
      <c r="AF488" s="414"/>
      <c r="AG488" s="414"/>
      <c r="AH488" s="414"/>
      <c r="AI488" s="414"/>
      <c r="AJ488" s="414"/>
      <c r="AK488" s="414"/>
      <c r="AL488" s="414"/>
      <c r="AM488" s="414"/>
      <c r="AN488" s="414"/>
      <c r="AO488" s="414"/>
    </row>
    <row r="489" spans="1:41" s="60" customFormat="1" ht="68.25" customHeight="1">
      <c r="A489" s="413" t="s">
        <v>136</v>
      </c>
      <c r="B489" s="413"/>
      <c r="C489" s="413"/>
      <c r="D489" s="413"/>
      <c r="E489" s="413"/>
      <c r="F489" s="413"/>
      <c r="G489" s="413"/>
      <c r="H489" s="413"/>
      <c r="I489" s="413"/>
      <c r="J489" s="413"/>
      <c r="K489" s="414"/>
      <c r="L489" s="414"/>
      <c r="M489" s="414"/>
      <c r="N489" s="414"/>
      <c r="O489" s="414"/>
      <c r="P489" s="414"/>
      <c r="Q489" s="414"/>
      <c r="R489" s="414"/>
      <c r="S489" s="414"/>
      <c r="T489" s="414"/>
      <c r="U489" s="414"/>
      <c r="V489" s="414"/>
      <c r="W489" s="414"/>
      <c r="X489" s="414"/>
      <c r="Y489" s="414"/>
      <c r="Z489" s="414"/>
      <c r="AA489" s="414"/>
      <c r="AB489" s="414"/>
      <c r="AC489" s="414"/>
      <c r="AD489" s="414"/>
      <c r="AE489" s="414"/>
      <c r="AF489" s="414"/>
      <c r="AG489" s="414"/>
      <c r="AH489" s="414"/>
      <c r="AI489" s="414"/>
      <c r="AJ489" s="414"/>
      <c r="AK489" s="414"/>
      <c r="AL489" s="414"/>
      <c r="AM489" s="414"/>
      <c r="AN489" s="414"/>
      <c r="AO489" s="414"/>
    </row>
    <row r="490" spans="1:41" s="60" customFormat="1" ht="68.25" customHeight="1">
      <c r="A490" s="413" t="s">
        <v>137</v>
      </c>
      <c r="B490" s="413"/>
      <c r="C490" s="413"/>
      <c r="D490" s="413"/>
      <c r="E490" s="413"/>
      <c r="F490" s="413"/>
      <c r="G490" s="413"/>
      <c r="H490" s="413"/>
      <c r="I490" s="413"/>
      <c r="J490" s="413"/>
      <c r="K490" s="414"/>
      <c r="L490" s="414"/>
      <c r="M490" s="414"/>
      <c r="N490" s="414"/>
      <c r="O490" s="414"/>
      <c r="P490" s="414"/>
      <c r="Q490" s="414"/>
      <c r="R490" s="414"/>
      <c r="S490" s="414"/>
      <c r="T490" s="414"/>
      <c r="U490" s="414"/>
      <c r="V490" s="414"/>
      <c r="W490" s="414"/>
      <c r="X490" s="414"/>
      <c r="Y490" s="414"/>
      <c r="Z490" s="414"/>
      <c r="AA490" s="414"/>
      <c r="AB490" s="414"/>
      <c r="AC490" s="414"/>
      <c r="AD490" s="414"/>
      <c r="AE490" s="414"/>
      <c r="AF490" s="414"/>
      <c r="AG490" s="414"/>
      <c r="AH490" s="414"/>
      <c r="AI490" s="414"/>
      <c r="AJ490" s="414"/>
      <c r="AK490" s="414"/>
      <c r="AL490" s="414"/>
      <c r="AM490" s="414"/>
      <c r="AN490" s="414"/>
      <c r="AO490" s="414"/>
    </row>
    <row r="493" spans="1:41" ht="30" customHeight="1">
      <c r="A493" s="199" t="s">
        <v>1195</v>
      </c>
      <c r="B493" s="199"/>
      <c r="C493" s="199"/>
      <c r="D493" s="199"/>
      <c r="E493" s="199"/>
      <c r="F493" s="199"/>
      <c r="G493" s="199"/>
      <c r="H493" s="199"/>
      <c r="I493" s="199"/>
      <c r="J493" s="199"/>
      <c r="K493" s="199"/>
      <c r="L493" s="199"/>
      <c r="M493" s="199"/>
      <c r="N493" s="199"/>
      <c r="O493" s="199"/>
      <c r="P493" s="199"/>
      <c r="Q493" s="199"/>
      <c r="R493" s="199"/>
      <c r="S493" s="199"/>
      <c r="T493" s="199"/>
      <c r="U493" s="199"/>
      <c r="V493" s="199"/>
      <c r="W493" s="199"/>
      <c r="X493" s="199"/>
      <c r="Y493" s="199"/>
      <c r="Z493" s="199"/>
      <c r="AA493" s="199"/>
      <c r="AB493" s="199"/>
      <c r="AC493" s="199"/>
      <c r="AD493" s="199"/>
      <c r="AE493" s="199"/>
      <c r="AF493" s="199"/>
      <c r="AG493" s="199"/>
      <c r="AH493" s="199"/>
      <c r="AI493" s="199"/>
      <c r="AJ493" s="199"/>
      <c r="AK493" s="199"/>
      <c r="AL493" s="199"/>
      <c r="AM493" s="199"/>
      <c r="AN493" s="199"/>
    </row>
    <row r="494" spans="1:41" ht="37.5" customHeight="1">
      <c r="A494" s="262" t="s">
        <v>1901</v>
      </c>
      <c r="B494" s="262"/>
      <c r="C494" s="262"/>
      <c r="D494" s="262"/>
      <c r="E494" s="262"/>
      <c r="F494" s="262"/>
      <c r="G494" s="262"/>
      <c r="H494" s="262"/>
      <c r="I494" s="262"/>
      <c r="J494" s="262"/>
      <c r="K494" s="262"/>
      <c r="L494" s="262"/>
      <c r="M494" s="262"/>
      <c r="N494" s="262"/>
      <c r="O494" s="262"/>
      <c r="P494" s="262"/>
      <c r="Q494" s="262"/>
      <c r="R494" s="262"/>
      <c r="S494" s="262"/>
      <c r="T494" s="262"/>
      <c r="U494" s="262"/>
      <c r="V494" s="262"/>
      <c r="W494" s="262"/>
      <c r="X494" s="262"/>
      <c r="Y494" s="262"/>
      <c r="Z494" s="262"/>
      <c r="AA494" s="262"/>
      <c r="AB494" s="262"/>
      <c r="AC494" s="262"/>
      <c r="AD494" s="262"/>
      <c r="AE494" s="262"/>
      <c r="AF494" s="262"/>
      <c r="AG494" s="262"/>
      <c r="AH494" s="262"/>
      <c r="AI494" s="262"/>
      <c r="AJ494" s="262"/>
      <c r="AK494" s="262"/>
      <c r="AL494" s="262"/>
      <c r="AM494" s="262"/>
      <c r="AN494" s="262"/>
    </row>
    <row r="495" spans="1:41" ht="39" customHeight="1">
      <c r="A495" s="262"/>
      <c r="B495" s="262"/>
      <c r="C495" s="262"/>
      <c r="D495" s="262"/>
      <c r="E495" s="262"/>
      <c r="F495" s="262"/>
      <c r="G495" s="262"/>
      <c r="H495" s="262"/>
      <c r="I495" s="262"/>
      <c r="J495" s="262"/>
      <c r="K495" s="262"/>
      <c r="L495" s="262"/>
      <c r="M495" s="262"/>
      <c r="N495" s="262"/>
      <c r="O495" s="262"/>
      <c r="P495" s="262"/>
      <c r="Q495" s="262"/>
      <c r="R495" s="262"/>
      <c r="S495" s="262"/>
      <c r="T495" s="262"/>
      <c r="U495" s="262"/>
      <c r="V495" s="262"/>
      <c r="W495" s="262"/>
      <c r="X495" s="262"/>
      <c r="Y495" s="262"/>
      <c r="Z495" s="262"/>
      <c r="AA495" s="262"/>
      <c r="AB495" s="262"/>
      <c r="AC495" s="262"/>
      <c r="AD495" s="262"/>
      <c r="AE495" s="262"/>
      <c r="AF495" s="262"/>
      <c r="AG495" s="262"/>
      <c r="AH495" s="262"/>
      <c r="AI495" s="262"/>
      <c r="AJ495" s="262"/>
      <c r="AK495" s="262"/>
      <c r="AL495" s="262"/>
      <c r="AM495" s="262"/>
      <c r="AN495" s="262"/>
    </row>
    <row r="497" spans="1:40" ht="39.950000000000003" customHeight="1">
      <c r="A497" s="188" t="s">
        <v>145</v>
      </c>
      <c r="B497" s="188"/>
      <c r="C497" s="188"/>
      <c r="D497" s="188"/>
      <c r="E497" s="188"/>
      <c r="F497" s="188"/>
      <c r="G497" s="188"/>
      <c r="H497" s="188"/>
      <c r="I497" s="188"/>
      <c r="J497" s="188"/>
      <c r="K497" s="412" t="s">
        <v>144</v>
      </c>
      <c r="L497" s="412"/>
      <c r="M497" s="412"/>
      <c r="N497" s="412"/>
      <c r="O497" s="412"/>
      <c r="P497" s="412"/>
      <c r="Q497" s="412"/>
      <c r="R497" s="412" t="s">
        <v>1437</v>
      </c>
      <c r="S497" s="412"/>
      <c r="T497" s="412"/>
      <c r="U497" s="412"/>
      <c r="V497" s="412"/>
      <c r="W497" s="412"/>
      <c r="X497" s="412"/>
      <c r="Y497" s="412"/>
      <c r="Z497" s="412"/>
      <c r="AA497" s="412"/>
      <c r="AB497" s="412"/>
      <c r="AC497" s="412"/>
      <c r="AD497" s="412"/>
      <c r="AE497" s="412"/>
      <c r="AF497" s="412"/>
      <c r="AG497" s="412"/>
      <c r="AH497" s="412"/>
      <c r="AI497" s="412"/>
      <c r="AJ497" s="412"/>
      <c r="AK497" s="412"/>
      <c r="AL497" s="412"/>
      <c r="AM497" s="412"/>
      <c r="AN497" s="412"/>
    </row>
    <row r="498" spans="1:40" ht="69" customHeight="1">
      <c r="A498" s="221" t="s">
        <v>138</v>
      </c>
      <c r="B498" s="221"/>
      <c r="C498" s="221"/>
      <c r="D498" s="221"/>
      <c r="E498" s="221"/>
      <c r="F498" s="221"/>
      <c r="G498" s="221"/>
      <c r="H498" s="221"/>
      <c r="I498" s="221"/>
      <c r="J498" s="221"/>
      <c r="K498" s="403">
        <f>+SUM(AS389:AS393)</f>
        <v>0</v>
      </c>
      <c r="L498" s="403"/>
      <c r="M498" s="403"/>
      <c r="N498" s="403"/>
      <c r="O498" s="403"/>
      <c r="P498" s="403"/>
      <c r="Q498" s="403"/>
      <c r="R498" s="411" t="s">
        <v>1439</v>
      </c>
      <c r="S498" s="411"/>
      <c r="T498" s="411"/>
      <c r="U498" s="411"/>
      <c r="V498" s="411"/>
      <c r="W498" s="411"/>
      <c r="X498" s="411"/>
      <c r="Y498" s="411"/>
      <c r="Z498" s="411"/>
      <c r="AA498" s="411"/>
      <c r="AB498" s="411"/>
      <c r="AC498" s="411"/>
      <c r="AD498" s="411"/>
      <c r="AE498" s="411"/>
      <c r="AF498" s="411"/>
      <c r="AG498" s="411"/>
      <c r="AH498" s="411"/>
      <c r="AI498" s="411"/>
      <c r="AJ498" s="411"/>
      <c r="AK498" s="411"/>
      <c r="AL498" s="411"/>
      <c r="AM498" s="411"/>
      <c r="AN498" s="411"/>
    </row>
    <row r="499" spans="1:40" ht="39.950000000000003" customHeight="1">
      <c r="A499" s="221" t="s">
        <v>140</v>
      </c>
      <c r="B499" s="221"/>
      <c r="C499" s="221"/>
      <c r="D499" s="221"/>
      <c r="E499" s="221"/>
      <c r="F499" s="221"/>
      <c r="G499" s="221"/>
      <c r="H499" s="221"/>
      <c r="I499" s="221"/>
      <c r="J499" s="221"/>
      <c r="K499" s="403">
        <f>+SUM(AO198:AO200,AO205:AO208,AO212:AO215)</f>
        <v>0</v>
      </c>
      <c r="L499" s="403"/>
      <c r="M499" s="403"/>
      <c r="N499" s="403"/>
      <c r="O499" s="403"/>
      <c r="P499" s="403"/>
      <c r="Q499" s="403"/>
      <c r="R499" s="411" t="s">
        <v>1440</v>
      </c>
      <c r="S499" s="411"/>
      <c r="T499" s="411"/>
      <c r="U499" s="411"/>
      <c r="V499" s="411"/>
      <c r="W499" s="411"/>
      <c r="X499" s="411"/>
      <c r="Y499" s="411"/>
      <c r="Z499" s="411"/>
      <c r="AA499" s="411"/>
      <c r="AB499" s="411"/>
      <c r="AC499" s="411"/>
      <c r="AD499" s="411"/>
      <c r="AE499" s="411"/>
      <c r="AF499" s="411"/>
      <c r="AG499" s="411"/>
      <c r="AH499" s="411"/>
      <c r="AI499" s="411"/>
      <c r="AJ499" s="411"/>
      <c r="AK499" s="411"/>
      <c r="AL499" s="411"/>
      <c r="AM499" s="411"/>
      <c r="AN499" s="411"/>
    </row>
    <row r="500" spans="1:40" ht="64.5" customHeight="1">
      <c r="A500" s="221" t="s">
        <v>139</v>
      </c>
      <c r="B500" s="221"/>
      <c r="C500" s="221"/>
      <c r="D500" s="221"/>
      <c r="E500" s="221"/>
      <c r="F500" s="221"/>
      <c r="G500" s="221"/>
      <c r="H500" s="221"/>
      <c r="I500" s="221"/>
      <c r="J500" s="221"/>
      <c r="K500" s="457">
        <f>+(AE450*1.4%)/(0.25*1423500)</f>
        <v>0</v>
      </c>
      <c r="L500" s="457"/>
      <c r="M500" s="457"/>
      <c r="N500" s="457"/>
      <c r="O500" s="457"/>
      <c r="P500" s="457"/>
      <c r="Q500" s="457"/>
      <c r="R500" s="411" t="s">
        <v>1438</v>
      </c>
      <c r="S500" s="411"/>
      <c r="T500" s="411"/>
      <c r="U500" s="411"/>
      <c r="V500" s="411"/>
      <c r="W500" s="411"/>
      <c r="X500" s="411"/>
      <c r="Y500" s="411"/>
      <c r="Z500" s="411"/>
      <c r="AA500" s="411"/>
      <c r="AB500" s="411"/>
      <c r="AC500" s="411"/>
      <c r="AD500" s="411"/>
      <c r="AE500" s="411"/>
      <c r="AF500" s="411"/>
      <c r="AG500" s="411"/>
      <c r="AH500" s="411"/>
      <c r="AI500" s="411"/>
      <c r="AJ500" s="411"/>
      <c r="AK500" s="411"/>
      <c r="AL500" s="411"/>
      <c r="AM500" s="411"/>
      <c r="AN500" s="411"/>
    </row>
    <row r="501" spans="1:40" ht="39.950000000000003" customHeight="1">
      <c r="A501" s="221" t="s">
        <v>141</v>
      </c>
      <c r="B501" s="221"/>
      <c r="C501" s="221"/>
      <c r="D501" s="221"/>
      <c r="E501" s="221"/>
      <c r="F501" s="221"/>
      <c r="G501" s="221"/>
      <c r="H501" s="221"/>
      <c r="I501" s="221"/>
      <c r="J501" s="221"/>
      <c r="K501" s="402">
        <f>+AE450</f>
        <v>0</v>
      </c>
      <c r="L501" s="403"/>
      <c r="M501" s="403"/>
      <c r="N501" s="403"/>
      <c r="O501" s="403"/>
      <c r="P501" s="403"/>
      <c r="Q501" s="403"/>
      <c r="R501" s="411" t="s">
        <v>1441</v>
      </c>
      <c r="S501" s="411"/>
      <c r="T501" s="411"/>
      <c r="U501" s="411"/>
      <c r="V501" s="411"/>
      <c r="W501" s="411"/>
      <c r="X501" s="411"/>
      <c r="Y501" s="411"/>
      <c r="Z501" s="411"/>
      <c r="AA501" s="411"/>
      <c r="AB501" s="411"/>
      <c r="AC501" s="411"/>
      <c r="AD501" s="411"/>
      <c r="AE501" s="411"/>
      <c r="AF501" s="411"/>
      <c r="AG501" s="411"/>
      <c r="AH501" s="411"/>
      <c r="AI501" s="411"/>
      <c r="AJ501" s="411"/>
      <c r="AK501" s="411"/>
      <c r="AL501" s="411"/>
      <c r="AM501" s="411"/>
      <c r="AN501" s="411"/>
    </row>
    <row r="502" spans="1:40" ht="39.950000000000003" customHeight="1">
      <c r="A502" s="221" t="s">
        <v>142</v>
      </c>
      <c r="B502" s="221"/>
      <c r="C502" s="221"/>
      <c r="D502" s="221"/>
      <c r="E502" s="221"/>
      <c r="F502" s="221"/>
      <c r="G502" s="221"/>
      <c r="H502" s="221"/>
      <c r="I502" s="221"/>
      <c r="J502" s="221"/>
      <c r="K502" s="403">
        <f>+G253+G271+G289</f>
        <v>0</v>
      </c>
      <c r="L502" s="403"/>
      <c r="M502" s="403"/>
      <c r="N502" s="403"/>
      <c r="O502" s="403"/>
      <c r="P502" s="403"/>
      <c r="Q502" s="403"/>
      <c r="R502" s="404" t="s">
        <v>1416</v>
      </c>
      <c r="S502" s="404"/>
      <c r="T502" s="404"/>
      <c r="U502" s="404"/>
      <c r="V502" s="404"/>
      <c r="W502" s="404"/>
      <c r="X502" s="404"/>
      <c r="Y502" s="404"/>
      <c r="Z502" s="404"/>
      <c r="AA502" s="404"/>
      <c r="AB502" s="404"/>
      <c r="AC502" s="404"/>
      <c r="AD502" s="404"/>
      <c r="AE502" s="404"/>
      <c r="AF502" s="404"/>
      <c r="AG502" s="404"/>
      <c r="AH502" s="404"/>
      <c r="AI502" s="404"/>
      <c r="AJ502" s="404"/>
      <c r="AK502" s="404"/>
      <c r="AL502" s="404"/>
      <c r="AM502" s="404"/>
      <c r="AN502" s="404"/>
    </row>
    <row r="503" spans="1:40" ht="39.950000000000003" customHeight="1">
      <c r="A503" s="221" t="s">
        <v>143</v>
      </c>
      <c r="B503" s="221"/>
      <c r="C503" s="221"/>
      <c r="D503" s="221"/>
      <c r="E503" s="221"/>
      <c r="F503" s="221"/>
      <c r="G503" s="221"/>
      <c r="H503" s="221"/>
      <c r="I503" s="221"/>
      <c r="J503" s="221"/>
      <c r="K503" s="402">
        <f>+K253+K271+K289</f>
        <v>0</v>
      </c>
      <c r="L503" s="403"/>
      <c r="M503" s="403"/>
      <c r="N503" s="403"/>
      <c r="O503" s="403"/>
      <c r="P503" s="403"/>
      <c r="Q503" s="403"/>
      <c r="R503" s="404" t="s">
        <v>1417</v>
      </c>
      <c r="S503" s="404"/>
      <c r="T503" s="404"/>
      <c r="U503" s="404"/>
      <c r="V503" s="404"/>
      <c r="W503" s="404"/>
      <c r="X503" s="404"/>
      <c r="Y503" s="404"/>
      <c r="Z503" s="404"/>
      <c r="AA503" s="404"/>
      <c r="AB503" s="404"/>
      <c r="AC503" s="404"/>
      <c r="AD503" s="404"/>
      <c r="AE503" s="404"/>
      <c r="AF503" s="404"/>
      <c r="AG503" s="404"/>
      <c r="AH503" s="404"/>
      <c r="AI503" s="404"/>
      <c r="AJ503" s="404"/>
      <c r="AK503" s="404"/>
      <c r="AL503" s="404"/>
      <c r="AM503" s="404"/>
      <c r="AN503" s="404"/>
    </row>
    <row r="506" spans="1:40" ht="30" customHeight="1">
      <c r="A506" s="169" t="s">
        <v>1196</v>
      </c>
      <c r="B506" s="169"/>
      <c r="C506" s="169"/>
      <c r="D506" s="169"/>
      <c r="E506" s="169"/>
      <c r="F506" s="169"/>
      <c r="G506" s="169"/>
      <c r="H506" s="169"/>
      <c r="I506" s="169"/>
      <c r="J506" s="169"/>
      <c r="K506" s="169"/>
      <c r="L506" s="169"/>
      <c r="M506" s="169"/>
      <c r="N506" s="169"/>
      <c r="O506" s="169"/>
      <c r="P506" s="169"/>
      <c r="Q506" s="169"/>
      <c r="R506" s="169"/>
      <c r="S506" s="169"/>
      <c r="T506" s="169"/>
      <c r="U506" s="169"/>
      <c r="V506" s="169"/>
      <c r="W506" s="169"/>
      <c r="X506" s="169"/>
      <c r="Y506" s="169"/>
      <c r="Z506" s="169"/>
      <c r="AA506" s="169"/>
      <c r="AB506" s="169"/>
      <c r="AC506" s="169"/>
      <c r="AD506" s="169"/>
      <c r="AE506" s="169"/>
      <c r="AF506" s="169"/>
      <c r="AG506" s="169"/>
      <c r="AH506" s="169"/>
      <c r="AI506" s="169"/>
      <c r="AJ506" s="169"/>
      <c r="AK506" s="169"/>
      <c r="AL506" s="169"/>
      <c r="AM506" s="169"/>
      <c r="AN506" s="169"/>
    </row>
    <row r="508" spans="1:40" ht="45" customHeight="1">
      <c r="A508" s="246" t="s">
        <v>1429</v>
      </c>
      <c r="B508" s="246"/>
      <c r="C508" s="246"/>
      <c r="D508" s="246"/>
      <c r="E508" s="246"/>
      <c r="F508" s="246"/>
      <c r="G508" s="246"/>
      <c r="H508" s="246"/>
      <c r="I508" s="246"/>
      <c r="J508" s="246"/>
      <c r="K508" s="246"/>
      <c r="L508" s="246"/>
      <c r="M508" s="246"/>
      <c r="N508" s="246"/>
      <c r="O508" s="246"/>
      <c r="P508" s="246"/>
      <c r="Q508" s="246"/>
      <c r="R508" s="246"/>
      <c r="S508" s="246"/>
      <c r="T508" s="246"/>
      <c r="U508" s="246"/>
      <c r="V508" s="246"/>
      <c r="W508" s="246"/>
      <c r="X508" s="246"/>
      <c r="Y508" s="246"/>
      <c r="Z508" s="246"/>
      <c r="AA508" s="246"/>
      <c r="AB508" s="246"/>
      <c r="AC508" s="246"/>
      <c r="AD508" s="246"/>
      <c r="AE508" s="246"/>
      <c r="AF508" s="246"/>
      <c r="AG508" s="246"/>
      <c r="AH508" s="246"/>
      <c r="AI508" s="246"/>
      <c r="AJ508" s="246"/>
      <c r="AK508" s="246"/>
      <c r="AL508" s="246"/>
      <c r="AM508" s="246"/>
      <c r="AN508" s="246"/>
    </row>
    <row r="510" spans="1:40" ht="39.950000000000003" customHeight="1">
      <c r="A510" s="109" t="s">
        <v>146</v>
      </c>
      <c r="B510" s="109"/>
      <c r="C510" s="109"/>
      <c r="D510" s="109"/>
      <c r="E510" s="109"/>
      <c r="F510" s="109"/>
      <c r="G510" s="109"/>
      <c r="H510" s="109"/>
      <c r="I510" s="109"/>
      <c r="J510" s="109"/>
      <c r="K510" s="110" t="s">
        <v>1453</v>
      </c>
      <c r="L510" s="110"/>
      <c r="M510" s="110"/>
      <c r="N510" s="110"/>
      <c r="O510" s="110"/>
      <c r="P510" s="110"/>
      <c r="Q510" s="110"/>
      <c r="R510" s="110"/>
      <c r="S510" s="110"/>
      <c r="T510" s="111" t="s">
        <v>1454</v>
      </c>
      <c r="U510" s="111"/>
      <c r="V510" s="111"/>
      <c r="W510" s="111"/>
      <c r="X510" s="111"/>
      <c r="Y510" s="111"/>
      <c r="Z510" s="111"/>
      <c r="AA510" s="111"/>
      <c r="AB510" s="112" t="s">
        <v>1430</v>
      </c>
      <c r="AC510" s="112"/>
      <c r="AD510" s="112"/>
      <c r="AE510" s="112"/>
      <c r="AF510" s="112"/>
      <c r="AG510" s="112"/>
      <c r="AH510" s="112"/>
      <c r="AI510" s="112"/>
      <c r="AJ510" s="112"/>
      <c r="AK510" s="112"/>
      <c r="AL510" s="112"/>
      <c r="AM510" s="112"/>
      <c r="AN510" s="112"/>
    </row>
    <row r="511" spans="1:40" s="56" customFormat="1" ht="54.75" customHeight="1">
      <c r="A511" s="166"/>
      <c r="B511" s="167"/>
      <c r="C511" s="167"/>
      <c r="D511" s="167"/>
      <c r="E511" s="167"/>
      <c r="F511" s="167"/>
      <c r="G511" s="167"/>
      <c r="H511" s="167"/>
      <c r="I511" s="167"/>
      <c r="J511" s="168"/>
      <c r="K511" s="408"/>
      <c r="L511" s="409"/>
      <c r="M511" s="409"/>
      <c r="N511" s="409"/>
      <c r="O511" s="409"/>
      <c r="P511" s="409"/>
      <c r="Q511" s="409"/>
      <c r="R511" s="409"/>
      <c r="S511" s="410"/>
      <c r="T511" s="408"/>
      <c r="U511" s="409"/>
      <c r="V511" s="409"/>
      <c r="W511" s="409"/>
      <c r="X511" s="409"/>
      <c r="Y511" s="409"/>
      <c r="Z511" s="409"/>
      <c r="AA511" s="410"/>
      <c r="AB511" s="405"/>
      <c r="AC511" s="406"/>
      <c r="AD511" s="406"/>
      <c r="AE511" s="406"/>
      <c r="AF511" s="406"/>
      <c r="AG511" s="406"/>
      <c r="AH511" s="406"/>
      <c r="AI511" s="406"/>
      <c r="AJ511" s="406"/>
      <c r="AK511" s="406"/>
      <c r="AL511" s="406"/>
      <c r="AM511" s="406"/>
      <c r="AN511" s="407"/>
    </row>
    <row r="512" spans="1:40" s="56" customFormat="1" ht="54.75" customHeight="1">
      <c r="A512" s="166"/>
      <c r="B512" s="167"/>
      <c r="C512" s="167"/>
      <c r="D512" s="167"/>
      <c r="E512" s="167"/>
      <c r="F512" s="167"/>
      <c r="G512" s="167"/>
      <c r="H512" s="167"/>
      <c r="I512" s="167"/>
      <c r="J512" s="168"/>
      <c r="K512" s="408"/>
      <c r="L512" s="409"/>
      <c r="M512" s="409"/>
      <c r="N512" s="409"/>
      <c r="O512" s="409"/>
      <c r="P512" s="409"/>
      <c r="Q512" s="409"/>
      <c r="R512" s="409"/>
      <c r="S512" s="410"/>
      <c r="T512" s="408"/>
      <c r="U512" s="409"/>
      <c r="V512" s="409"/>
      <c r="W512" s="409"/>
      <c r="X512" s="409"/>
      <c r="Y512" s="409"/>
      <c r="Z512" s="409"/>
      <c r="AA512" s="410"/>
      <c r="AB512" s="405"/>
      <c r="AC512" s="406"/>
      <c r="AD512" s="406"/>
      <c r="AE512" s="406"/>
      <c r="AF512" s="406"/>
      <c r="AG512" s="406"/>
      <c r="AH512" s="406"/>
      <c r="AI512" s="406"/>
      <c r="AJ512" s="406"/>
      <c r="AK512" s="406"/>
      <c r="AL512" s="406"/>
      <c r="AM512" s="406"/>
      <c r="AN512" s="407"/>
    </row>
    <row r="513" spans="1:41" s="56" customFormat="1" ht="54.75" customHeight="1">
      <c r="A513" s="166"/>
      <c r="B513" s="167"/>
      <c r="C513" s="167"/>
      <c r="D513" s="167"/>
      <c r="E513" s="167"/>
      <c r="F513" s="167"/>
      <c r="G513" s="167"/>
      <c r="H513" s="167"/>
      <c r="I513" s="167"/>
      <c r="J513" s="168"/>
      <c r="K513" s="408"/>
      <c r="L513" s="409"/>
      <c r="M513" s="409"/>
      <c r="N513" s="409"/>
      <c r="O513" s="409"/>
      <c r="P513" s="409"/>
      <c r="Q513" s="409"/>
      <c r="R513" s="409"/>
      <c r="S513" s="410"/>
      <c r="T513" s="408"/>
      <c r="U513" s="409"/>
      <c r="V513" s="409"/>
      <c r="W513" s="409"/>
      <c r="X513" s="409"/>
      <c r="Y513" s="409"/>
      <c r="Z513" s="409"/>
      <c r="AA513" s="410"/>
      <c r="AB513" s="405"/>
      <c r="AC513" s="406"/>
      <c r="AD513" s="406"/>
      <c r="AE513" s="406"/>
      <c r="AF513" s="406"/>
      <c r="AG513" s="406"/>
      <c r="AH513" s="406"/>
      <c r="AI513" s="406"/>
      <c r="AJ513" s="406"/>
      <c r="AK513" s="406"/>
      <c r="AL513" s="406"/>
      <c r="AM513" s="406"/>
      <c r="AN513" s="407"/>
    </row>
    <row r="514" spans="1:41" ht="39.950000000000003" customHeight="1">
      <c r="A514" s="109" t="s">
        <v>146</v>
      </c>
      <c r="B514" s="109"/>
      <c r="C514" s="109"/>
      <c r="D514" s="109"/>
      <c r="E514" s="109"/>
      <c r="F514" s="109"/>
      <c r="G514" s="109"/>
      <c r="H514" s="109"/>
      <c r="I514" s="109"/>
      <c r="J514" s="109"/>
      <c r="K514" s="110" t="s">
        <v>1453</v>
      </c>
      <c r="L514" s="110"/>
      <c r="M514" s="110"/>
      <c r="N514" s="110"/>
      <c r="O514" s="110"/>
      <c r="P514" s="110"/>
      <c r="Q514" s="110"/>
      <c r="R514" s="110"/>
      <c r="S514" s="110"/>
      <c r="T514" s="111" t="s">
        <v>1454</v>
      </c>
      <c r="U514" s="111"/>
      <c r="V514" s="111"/>
      <c r="W514" s="111"/>
      <c r="X514" s="111"/>
      <c r="Y514" s="111"/>
      <c r="Z514" s="111"/>
      <c r="AA514" s="111"/>
      <c r="AB514" s="112" t="s">
        <v>1430</v>
      </c>
      <c r="AC514" s="112"/>
      <c r="AD514" s="112"/>
      <c r="AE514" s="112"/>
      <c r="AF514" s="112"/>
      <c r="AG514" s="112"/>
      <c r="AH514" s="112"/>
      <c r="AI514" s="112"/>
      <c r="AJ514" s="112"/>
      <c r="AK514" s="112"/>
      <c r="AL514" s="112"/>
      <c r="AM514" s="112"/>
      <c r="AN514" s="112"/>
    </row>
    <row r="515" spans="1:41" s="56" customFormat="1" ht="54.75" customHeight="1">
      <c r="A515" s="166"/>
      <c r="B515" s="167"/>
      <c r="C515" s="167"/>
      <c r="D515" s="167"/>
      <c r="E515" s="167"/>
      <c r="F515" s="167"/>
      <c r="G515" s="167"/>
      <c r="H515" s="167"/>
      <c r="I515" s="167"/>
      <c r="J515" s="168"/>
      <c r="K515" s="408"/>
      <c r="L515" s="409"/>
      <c r="M515" s="409"/>
      <c r="N515" s="409"/>
      <c r="O515" s="409"/>
      <c r="P515" s="409"/>
      <c r="Q515" s="409"/>
      <c r="R515" s="409"/>
      <c r="S515" s="410"/>
      <c r="T515" s="408"/>
      <c r="U515" s="409"/>
      <c r="V515" s="409"/>
      <c r="W515" s="409"/>
      <c r="X515" s="409"/>
      <c r="Y515" s="409"/>
      <c r="Z515" s="409"/>
      <c r="AA515" s="410"/>
      <c r="AB515" s="405"/>
      <c r="AC515" s="406"/>
      <c r="AD515" s="406"/>
      <c r="AE515" s="406"/>
      <c r="AF515" s="406"/>
      <c r="AG515" s="406"/>
      <c r="AH515" s="406"/>
      <c r="AI515" s="406"/>
      <c r="AJ515" s="406"/>
      <c r="AK515" s="406"/>
      <c r="AL515" s="406"/>
      <c r="AM515" s="406"/>
      <c r="AN515" s="407"/>
    </row>
    <row r="516" spans="1:41" s="56" customFormat="1" ht="54.75" customHeight="1">
      <c r="A516" s="166"/>
      <c r="B516" s="167"/>
      <c r="C516" s="167"/>
      <c r="D516" s="167"/>
      <c r="E516" s="167"/>
      <c r="F516" s="167"/>
      <c r="G516" s="167"/>
      <c r="H516" s="167"/>
      <c r="I516" s="167"/>
      <c r="J516" s="168"/>
      <c r="K516" s="408"/>
      <c r="L516" s="409"/>
      <c r="M516" s="409"/>
      <c r="N516" s="409"/>
      <c r="O516" s="409"/>
      <c r="P516" s="409"/>
      <c r="Q516" s="409"/>
      <c r="R516" s="409"/>
      <c r="S516" s="410"/>
      <c r="T516" s="408"/>
      <c r="U516" s="409"/>
      <c r="V516" s="409"/>
      <c r="W516" s="409"/>
      <c r="X516" s="409"/>
      <c r="Y516" s="409"/>
      <c r="Z516" s="409"/>
      <c r="AA516" s="410"/>
      <c r="AB516" s="405"/>
      <c r="AC516" s="406"/>
      <c r="AD516" s="406"/>
      <c r="AE516" s="406"/>
      <c r="AF516" s="406"/>
      <c r="AG516" s="406"/>
      <c r="AH516" s="406"/>
      <c r="AI516" s="406"/>
      <c r="AJ516" s="406"/>
      <c r="AK516" s="406"/>
      <c r="AL516" s="406"/>
      <c r="AM516" s="406"/>
      <c r="AN516" s="407"/>
    </row>
    <row r="519" spans="1:41" ht="30" customHeight="1">
      <c r="A519" s="217" t="s">
        <v>1197</v>
      </c>
      <c r="B519" s="217"/>
      <c r="C519" s="217"/>
      <c r="D519" s="217"/>
      <c r="E519" s="217"/>
      <c r="F519" s="217"/>
      <c r="G519" s="217"/>
      <c r="H519" s="217"/>
      <c r="I519" s="217"/>
      <c r="J519" s="217"/>
      <c r="K519" s="217"/>
      <c r="L519" s="217"/>
      <c r="M519" s="217"/>
      <c r="N519" s="217"/>
      <c r="O519" s="217"/>
      <c r="P519" s="217"/>
      <c r="Q519" s="217"/>
      <c r="R519" s="217"/>
      <c r="S519" s="217"/>
      <c r="T519" s="217"/>
      <c r="U519" s="217"/>
      <c r="V519" s="217"/>
      <c r="W519" s="217"/>
      <c r="X519" s="217"/>
      <c r="Y519" s="217"/>
      <c r="Z519" s="217"/>
      <c r="AA519" s="217"/>
      <c r="AB519" s="217"/>
      <c r="AC519" s="217"/>
      <c r="AD519" s="217"/>
      <c r="AE519" s="217"/>
      <c r="AF519" s="217"/>
      <c r="AG519" s="217"/>
      <c r="AH519" s="217"/>
      <c r="AI519" s="217"/>
      <c r="AJ519" s="217"/>
      <c r="AK519" s="217"/>
      <c r="AL519" s="217"/>
      <c r="AM519" s="217"/>
      <c r="AN519" s="217"/>
    </row>
    <row r="520" spans="1:41" ht="43.5" customHeight="1">
      <c r="A520" s="262" t="s">
        <v>1876</v>
      </c>
      <c r="B520" s="262"/>
      <c r="C520" s="262"/>
      <c r="D520" s="262"/>
      <c r="E520" s="262"/>
      <c r="F520" s="262"/>
      <c r="G520" s="262"/>
      <c r="H520" s="262"/>
      <c r="I520" s="262"/>
      <c r="J520" s="262"/>
      <c r="K520" s="262"/>
      <c r="L520" s="262"/>
      <c r="M520" s="262"/>
      <c r="N520" s="262"/>
      <c r="O520" s="262"/>
      <c r="P520" s="262"/>
      <c r="Q520" s="262"/>
      <c r="R520" s="262"/>
      <c r="S520" s="262"/>
      <c r="T520" s="262"/>
      <c r="U520" s="262"/>
      <c r="V520" s="262"/>
      <c r="W520" s="262"/>
      <c r="X520" s="262"/>
      <c r="Y520" s="262"/>
      <c r="Z520" s="262"/>
      <c r="AA520" s="262"/>
      <c r="AB520" s="262"/>
      <c r="AC520" s="262"/>
      <c r="AD520" s="262"/>
      <c r="AE520" s="262"/>
      <c r="AF520" s="262"/>
      <c r="AG520" s="262"/>
      <c r="AH520" s="262"/>
      <c r="AI520" s="262"/>
      <c r="AJ520" s="262"/>
      <c r="AK520" s="262"/>
      <c r="AL520" s="262"/>
      <c r="AM520" s="262"/>
      <c r="AN520" s="262"/>
    </row>
    <row r="523" spans="1:41" ht="81.75" customHeight="1">
      <c r="A523" s="218" t="s">
        <v>1875</v>
      </c>
      <c r="B523" s="218"/>
      <c r="C523" s="218"/>
      <c r="D523" s="218"/>
      <c r="E523" s="218"/>
      <c r="F523" s="218"/>
      <c r="G523" s="218"/>
      <c r="H523" s="218"/>
      <c r="I523" s="218"/>
      <c r="J523" s="218"/>
      <c r="K523" s="218"/>
      <c r="L523" s="218"/>
      <c r="M523" s="218"/>
      <c r="N523" s="218"/>
      <c r="O523" s="218"/>
      <c r="P523" s="218"/>
      <c r="Q523" s="218"/>
      <c r="R523" s="218"/>
      <c r="S523" s="218"/>
      <c r="T523" s="218"/>
      <c r="U523" s="218"/>
      <c r="V523" s="218"/>
      <c r="W523" s="218"/>
      <c r="X523" s="218"/>
      <c r="Y523" s="218"/>
      <c r="Z523" s="218"/>
      <c r="AA523" s="218"/>
      <c r="AB523" s="218"/>
      <c r="AC523" s="218"/>
      <c r="AD523" s="218"/>
      <c r="AE523" s="218"/>
      <c r="AF523" s="218"/>
      <c r="AG523" s="218"/>
      <c r="AH523" s="218"/>
      <c r="AI523" s="218"/>
      <c r="AJ523" s="218"/>
      <c r="AK523" s="218"/>
      <c r="AL523" s="218"/>
      <c r="AM523" s="218"/>
      <c r="AN523" s="218"/>
      <c r="AO523" s="218"/>
    </row>
    <row r="524" spans="1:41" ht="59.25" customHeight="1">
      <c r="A524" s="247"/>
      <c r="B524" s="248"/>
      <c r="C524" s="248"/>
      <c r="D524" s="248"/>
      <c r="E524" s="248"/>
      <c r="F524" s="248"/>
      <c r="G524" s="248"/>
      <c r="H524" s="248"/>
      <c r="I524" s="248"/>
      <c r="J524" s="248"/>
      <c r="K524" s="248"/>
      <c r="L524" s="248"/>
      <c r="M524" s="248"/>
      <c r="N524" s="248"/>
      <c r="O524" s="248"/>
      <c r="P524" s="248"/>
      <c r="Q524" s="248"/>
      <c r="R524" s="248"/>
      <c r="S524" s="248"/>
      <c r="T524" s="248"/>
      <c r="U524" s="248"/>
      <c r="V524" s="248"/>
      <c r="W524" s="248"/>
      <c r="X524" s="248"/>
      <c r="Y524" s="248"/>
      <c r="Z524" s="248"/>
      <c r="AA524" s="248"/>
      <c r="AB524" s="248"/>
      <c r="AC524" s="248"/>
      <c r="AD524" s="248"/>
      <c r="AE524" s="248"/>
      <c r="AF524" s="248"/>
      <c r="AG524" s="248"/>
      <c r="AH524" s="248"/>
      <c r="AI524" s="248"/>
      <c r="AJ524" s="248"/>
      <c r="AK524" s="248"/>
      <c r="AL524" s="248"/>
      <c r="AM524" s="248"/>
      <c r="AN524" s="248"/>
      <c r="AO524" s="249"/>
    </row>
    <row r="525" spans="1:41" ht="59.25" customHeight="1">
      <c r="A525" s="250"/>
      <c r="B525" s="251"/>
      <c r="C525" s="251"/>
      <c r="D525" s="251"/>
      <c r="E525" s="251"/>
      <c r="F525" s="251"/>
      <c r="G525" s="251"/>
      <c r="H525" s="251"/>
      <c r="I525" s="251"/>
      <c r="J525" s="251"/>
      <c r="K525" s="251"/>
      <c r="L525" s="251"/>
      <c r="M525" s="251"/>
      <c r="N525" s="251"/>
      <c r="O525" s="251"/>
      <c r="P525" s="251"/>
      <c r="Q525" s="251"/>
      <c r="R525" s="251"/>
      <c r="S525" s="251"/>
      <c r="T525" s="251"/>
      <c r="U525" s="251"/>
      <c r="V525" s="251"/>
      <c r="W525" s="251"/>
      <c r="X525" s="251"/>
      <c r="Y525" s="251"/>
      <c r="Z525" s="251"/>
      <c r="AA525" s="251"/>
      <c r="AB525" s="251"/>
      <c r="AC525" s="251"/>
      <c r="AD525" s="251"/>
      <c r="AE525" s="251"/>
      <c r="AF525" s="251"/>
      <c r="AG525" s="251"/>
      <c r="AH525" s="251"/>
      <c r="AI525" s="251"/>
      <c r="AJ525" s="251"/>
      <c r="AK525" s="251"/>
      <c r="AL525" s="251"/>
      <c r="AM525" s="251"/>
      <c r="AN525" s="251"/>
      <c r="AO525" s="252"/>
    </row>
    <row r="526" spans="1:41" ht="59.25" customHeight="1">
      <c r="A526" s="250"/>
      <c r="B526" s="251"/>
      <c r="C526" s="251"/>
      <c r="D526" s="251"/>
      <c r="E526" s="251"/>
      <c r="F526" s="251"/>
      <c r="G526" s="251"/>
      <c r="H526" s="251"/>
      <c r="I526" s="251"/>
      <c r="J526" s="251"/>
      <c r="K526" s="251"/>
      <c r="L526" s="251"/>
      <c r="M526" s="251"/>
      <c r="N526" s="251"/>
      <c r="O526" s="251"/>
      <c r="P526" s="251"/>
      <c r="Q526" s="251"/>
      <c r="R526" s="251"/>
      <c r="S526" s="251"/>
      <c r="T526" s="251"/>
      <c r="U526" s="251"/>
      <c r="V526" s="251"/>
      <c r="W526" s="251"/>
      <c r="X526" s="251"/>
      <c r="Y526" s="251"/>
      <c r="Z526" s="251"/>
      <c r="AA526" s="251"/>
      <c r="AB526" s="251"/>
      <c r="AC526" s="251"/>
      <c r="AD526" s="251"/>
      <c r="AE526" s="251"/>
      <c r="AF526" s="251"/>
      <c r="AG526" s="251"/>
      <c r="AH526" s="251"/>
      <c r="AI526" s="251"/>
      <c r="AJ526" s="251"/>
      <c r="AK526" s="251"/>
      <c r="AL526" s="251"/>
      <c r="AM526" s="251"/>
      <c r="AN526" s="251"/>
      <c r="AO526" s="252"/>
    </row>
    <row r="527" spans="1:41" ht="59.25" customHeight="1">
      <c r="A527" s="253"/>
      <c r="B527" s="254"/>
      <c r="C527" s="254"/>
      <c r="D527" s="254"/>
      <c r="E527" s="254"/>
      <c r="F527" s="254"/>
      <c r="G527" s="254"/>
      <c r="H527" s="254"/>
      <c r="I527" s="254"/>
      <c r="J527" s="254"/>
      <c r="K527" s="254"/>
      <c r="L527" s="254"/>
      <c r="M527" s="254"/>
      <c r="N527" s="254"/>
      <c r="O527" s="254"/>
      <c r="P527" s="254"/>
      <c r="Q527" s="254"/>
      <c r="R527" s="254"/>
      <c r="S527" s="254"/>
      <c r="T527" s="254"/>
      <c r="U527" s="254"/>
      <c r="V527" s="254"/>
      <c r="W527" s="254"/>
      <c r="X527" s="254"/>
      <c r="Y527" s="254"/>
      <c r="Z527" s="254"/>
      <c r="AA527" s="254"/>
      <c r="AB527" s="254"/>
      <c r="AC527" s="254"/>
      <c r="AD527" s="254"/>
      <c r="AE527" s="254"/>
      <c r="AF527" s="254"/>
      <c r="AG527" s="254"/>
      <c r="AH527" s="254"/>
      <c r="AI527" s="254"/>
      <c r="AJ527" s="254"/>
      <c r="AK527" s="254"/>
      <c r="AL527" s="254"/>
      <c r="AM527" s="254"/>
      <c r="AN527" s="254"/>
      <c r="AO527" s="255"/>
    </row>
    <row r="529" spans="1:41" ht="24">
      <c r="A529" s="218" t="s">
        <v>1331</v>
      </c>
      <c r="B529" s="218"/>
      <c r="C529" s="218"/>
      <c r="D529" s="218"/>
      <c r="E529" s="218"/>
      <c r="F529" s="218"/>
      <c r="G529" s="218"/>
      <c r="H529" s="218"/>
      <c r="I529" s="218"/>
      <c r="J529" s="218"/>
      <c r="K529" s="218"/>
      <c r="L529" s="218"/>
      <c r="M529" s="218"/>
      <c r="N529" s="218"/>
      <c r="O529" s="218"/>
      <c r="P529" s="218"/>
      <c r="Q529" s="218"/>
      <c r="R529" s="218"/>
      <c r="S529" s="218"/>
      <c r="T529" s="218"/>
      <c r="U529" s="218"/>
      <c r="V529" s="218"/>
      <c r="W529" s="218"/>
      <c r="X529" s="218"/>
      <c r="Y529" s="218"/>
      <c r="Z529" s="218"/>
      <c r="AA529" s="218"/>
      <c r="AB529" s="218"/>
      <c r="AC529" s="218"/>
      <c r="AD529" s="218"/>
      <c r="AE529" s="218"/>
      <c r="AF529" s="218"/>
      <c r="AG529" s="218"/>
      <c r="AH529" s="218"/>
      <c r="AI529" s="218"/>
      <c r="AJ529" s="218"/>
      <c r="AK529" s="218"/>
      <c r="AL529" s="218"/>
      <c r="AM529" s="218"/>
      <c r="AN529" s="218"/>
      <c r="AO529" s="218"/>
    </row>
    <row r="530" spans="1:41">
      <c r="A530" s="271"/>
      <c r="B530" s="272"/>
      <c r="C530" s="272"/>
      <c r="D530" s="272"/>
      <c r="E530" s="272"/>
      <c r="F530" s="272"/>
      <c r="G530" s="272"/>
      <c r="H530" s="272"/>
      <c r="I530" s="272"/>
      <c r="J530" s="272"/>
      <c r="K530" s="272"/>
      <c r="L530" s="272"/>
      <c r="M530" s="272"/>
      <c r="N530" s="272"/>
      <c r="O530" s="272"/>
      <c r="P530" s="272"/>
      <c r="Q530" s="272"/>
      <c r="R530" s="272"/>
      <c r="S530" s="272"/>
      <c r="T530" s="272"/>
      <c r="U530" s="272"/>
      <c r="V530" s="272"/>
      <c r="W530" s="272"/>
      <c r="X530" s="272"/>
      <c r="Y530" s="272"/>
      <c r="Z530" s="272"/>
      <c r="AA530" s="272"/>
      <c r="AB530" s="272"/>
      <c r="AC530" s="272"/>
      <c r="AD530" s="272"/>
      <c r="AE530" s="272"/>
      <c r="AF530" s="272"/>
      <c r="AG530" s="272"/>
      <c r="AH530" s="272"/>
      <c r="AI530" s="272"/>
      <c r="AJ530" s="272"/>
      <c r="AK530" s="272"/>
      <c r="AL530" s="272"/>
      <c r="AM530" s="272"/>
      <c r="AN530" s="272"/>
      <c r="AO530" s="273"/>
    </row>
    <row r="531" spans="1:41">
      <c r="A531" s="274"/>
      <c r="B531" s="275"/>
      <c r="C531" s="275"/>
      <c r="D531" s="275"/>
      <c r="E531" s="275"/>
      <c r="F531" s="275"/>
      <c r="G531" s="275"/>
      <c r="H531" s="275"/>
      <c r="I531" s="275"/>
      <c r="J531" s="275"/>
      <c r="K531" s="275"/>
      <c r="L531" s="275"/>
      <c r="M531" s="275"/>
      <c r="N531" s="275"/>
      <c r="O531" s="275"/>
      <c r="P531" s="275"/>
      <c r="Q531" s="275"/>
      <c r="R531" s="275"/>
      <c r="S531" s="275"/>
      <c r="T531" s="275"/>
      <c r="U531" s="275"/>
      <c r="V531" s="275"/>
      <c r="W531" s="275"/>
      <c r="X531" s="275"/>
      <c r="Y531" s="275"/>
      <c r="Z531" s="275"/>
      <c r="AA531" s="275"/>
      <c r="AB531" s="275"/>
      <c r="AC531" s="275"/>
      <c r="AD531" s="275"/>
      <c r="AE531" s="275"/>
      <c r="AF531" s="275"/>
      <c r="AG531" s="275"/>
      <c r="AH531" s="275"/>
      <c r="AI531" s="275"/>
      <c r="AJ531" s="275"/>
      <c r="AK531" s="275"/>
      <c r="AL531" s="275"/>
      <c r="AM531" s="275"/>
      <c r="AN531" s="275"/>
      <c r="AO531" s="276"/>
    </row>
    <row r="532" spans="1:41">
      <c r="A532" s="274"/>
      <c r="B532" s="275"/>
      <c r="C532" s="275"/>
      <c r="D532" s="275"/>
      <c r="E532" s="275"/>
      <c r="F532" s="275"/>
      <c r="G532" s="275"/>
      <c r="H532" s="275"/>
      <c r="I532" s="275"/>
      <c r="J532" s="275"/>
      <c r="K532" s="275"/>
      <c r="L532" s="275"/>
      <c r="M532" s="275"/>
      <c r="N532" s="275"/>
      <c r="O532" s="275"/>
      <c r="P532" s="275"/>
      <c r="Q532" s="275"/>
      <c r="R532" s="275"/>
      <c r="S532" s="275"/>
      <c r="T532" s="275"/>
      <c r="U532" s="275"/>
      <c r="V532" s="275"/>
      <c r="W532" s="275"/>
      <c r="X532" s="275"/>
      <c r="Y532" s="275"/>
      <c r="Z532" s="275"/>
      <c r="AA532" s="275"/>
      <c r="AB532" s="275"/>
      <c r="AC532" s="275"/>
      <c r="AD532" s="275"/>
      <c r="AE532" s="275"/>
      <c r="AF532" s="275"/>
      <c r="AG532" s="275"/>
      <c r="AH532" s="275"/>
      <c r="AI532" s="275"/>
      <c r="AJ532" s="275"/>
      <c r="AK532" s="275"/>
      <c r="AL532" s="275"/>
      <c r="AM532" s="275"/>
      <c r="AN532" s="275"/>
      <c r="AO532" s="276"/>
    </row>
    <row r="533" spans="1:41">
      <c r="A533" s="274"/>
      <c r="B533" s="275"/>
      <c r="C533" s="275"/>
      <c r="D533" s="275"/>
      <c r="E533" s="275"/>
      <c r="F533" s="275"/>
      <c r="G533" s="275"/>
      <c r="H533" s="275"/>
      <c r="I533" s="275"/>
      <c r="J533" s="275"/>
      <c r="K533" s="275"/>
      <c r="L533" s="275"/>
      <c r="M533" s="275"/>
      <c r="N533" s="275"/>
      <c r="O533" s="275"/>
      <c r="P533" s="275"/>
      <c r="Q533" s="275"/>
      <c r="R533" s="275"/>
      <c r="S533" s="275"/>
      <c r="T533" s="275"/>
      <c r="U533" s="275"/>
      <c r="V533" s="275"/>
      <c r="W533" s="275"/>
      <c r="X533" s="275"/>
      <c r="Y533" s="275"/>
      <c r="Z533" s="275"/>
      <c r="AA533" s="275"/>
      <c r="AB533" s="275"/>
      <c r="AC533" s="275"/>
      <c r="AD533" s="275"/>
      <c r="AE533" s="275"/>
      <c r="AF533" s="275"/>
      <c r="AG533" s="275"/>
      <c r="AH533" s="275"/>
      <c r="AI533" s="275"/>
      <c r="AJ533" s="275"/>
      <c r="AK533" s="275"/>
      <c r="AL533" s="275"/>
      <c r="AM533" s="275"/>
      <c r="AN533" s="275"/>
      <c r="AO533" s="276"/>
    </row>
    <row r="534" spans="1:41">
      <c r="A534" s="277"/>
      <c r="B534" s="278"/>
      <c r="C534" s="278"/>
      <c r="D534" s="278"/>
      <c r="E534" s="278"/>
      <c r="F534" s="278"/>
      <c r="G534" s="278"/>
      <c r="H534" s="278"/>
      <c r="I534" s="278"/>
      <c r="J534" s="278"/>
      <c r="K534" s="278"/>
      <c r="L534" s="278"/>
      <c r="M534" s="278"/>
      <c r="N534" s="278"/>
      <c r="O534" s="278"/>
      <c r="P534" s="278"/>
      <c r="Q534" s="278"/>
      <c r="R534" s="278"/>
      <c r="S534" s="278"/>
      <c r="T534" s="278"/>
      <c r="U534" s="278"/>
      <c r="V534" s="278"/>
      <c r="W534" s="278"/>
      <c r="X534" s="278"/>
      <c r="Y534" s="278"/>
      <c r="Z534" s="278"/>
      <c r="AA534" s="278"/>
      <c r="AB534" s="278"/>
      <c r="AC534" s="278"/>
      <c r="AD534" s="278"/>
      <c r="AE534" s="278"/>
      <c r="AF534" s="278"/>
      <c r="AG534" s="278"/>
      <c r="AH534" s="278"/>
      <c r="AI534" s="278"/>
      <c r="AJ534" s="278"/>
      <c r="AK534" s="278"/>
      <c r="AL534" s="278"/>
      <c r="AM534" s="278"/>
      <c r="AN534" s="278"/>
      <c r="AO534" s="279"/>
    </row>
    <row r="536" spans="1:41" ht="24">
      <c r="A536" s="218" t="s">
        <v>1332</v>
      </c>
      <c r="B536" s="218"/>
      <c r="C536" s="218"/>
      <c r="D536" s="218"/>
      <c r="E536" s="218"/>
      <c r="F536" s="218"/>
      <c r="G536" s="218"/>
      <c r="H536" s="218"/>
      <c r="I536" s="218"/>
      <c r="J536" s="218"/>
      <c r="K536" s="218"/>
      <c r="L536" s="218"/>
      <c r="M536" s="218"/>
      <c r="N536" s="218"/>
      <c r="O536" s="218"/>
      <c r="P536" s="218"/>
      <c r="Q536" s="218"/>
      <c r="R536" s="218"/>
      <c r="S536" s="218"/>
      <c r="T536" s="218"/>
      <c r="U536" s="218"/>
      <c r="V536" s="218"/>
      <c r="W536" s="218"/>
      <c r="X536" s="218"/>
      <c r="Y536" s="218"/>
      <c r="Z536" s="218"/>
      <c r="AA536" s="218"/>
      <c r="AB536" s="218"/>
      <c r="AC536" s="218"/>
      <c r="AD536" s="218"/>
      <c r="AE536" s="218"/>
      <c r="AF536" s="218"/>
      <c r="AG536" s="218"/>
      <c r="AH536" s="218"/>
      <c r="AI536" s="218"/>
      <c r="AJ536" s="218"/>
      <c r="AK536" s="218"/>
      <c r="AL536" s="218"/>
      <c r="AM536" s="218"/>
      <c r="AN536" s="218"/>
      <c r="AO536" s="218"/>
    </row>
    <row r="537" spans="1:41" ht="46.5" customHeight="1">
      <c r="A537" s="263" t="s">
        <v>1455</v>
      </c>
      <c r="B537" s="263"/>
      <c r="C537" s="263"/>
      <c r="D537" s="263"/>
      <c r="E537" s="263"/>
      <c r="F537" s="263"/>
      <c r="G537" s="263"/>
      <c r="H537" s="263"/>
      <c r="I537" s="263"/>
      <c r="J537" s="263"/>
      <c r="K537" s="263"/>
      <c r="L537" s="263"/>
      <c r="M537" s="263"/>
      <c r="N537" s="263"/>
      <c r="O537" s="263"/>
      <c r="P537" s="263"/>
      <c r="Q537" s="263"/>
      <c r="R537" s="263"/>
      <c r="S537" s="263"/>
      <c r="T537" s="263"/>
      <c r="U537" s="263"/>
      <c r="V537" s="263"/>
      <c r="W537" s="263"/>
      <c r="X537" s="263"/>
      <c r="Y537" s="263"/>
      <c r="Z537" s="263"/>
      <c r="AA537" s="263"/>
      <c r="AB537" s="263"/>
      <c r="AC537" s="263"/>
      <c r="AD537" s="263"/>
      <c r="AE537" s="263"/>
      <c r="AF537" s="263"/>
      <c r="AG537" s="263"/>
      <c r="AH537" s="263"/>
      <c r="AI537" s="263"/>
      <c r="AJ537" s="263"/>
      <c r="AK537" s="263"/>
      <c r="AL537" s="263"/>
      <c r="AM537" s="263"/>
      <c r="AN537" s="263"/>
      <c r="AO537" s="263"/>
    </row>
    <row r="538" spans="1:41" ht="46.5" customHeight="1">
      <c r="A538" s="263" t="s">
        <v>1333</v>
      </c>
      <c r="B538" s="263"/>
      <c r="C538" s="263"/>
      <c r="D538" s="263"/>
      <c r="E538" s="263"/>
      <c r="F538" s="263"/>
      <c r="G538" s="263"/>
      <c r="H538" s="263"/>
      <c r="I538" s="263"/>
      <c r="J538" s="263"/>
      <c r="K538" s="263"/>
      <c r="L538" s="263"/>
      <c r="M538" s="263"/>
      <c r="N538" s="263"/>
      <c r="O538" s="263"/>
      <c r="P538" s="263"/>
      <c r="Q538" s="263"/>
      <c r="R538" s="263"/>
      <c r="S538" s="263"/>
      <c r="T538" s="263"/>
      <c r="U538" s="263"/>
      <c r="V538" s="263"/>
      <c r="W538" s="263"/>
      <c r="X538" s="263"/>
      <c r="Y538" s="263"/>
      <c r="Z538" s="263"/>
      <c r="AA538" s="263"/>
      <c r="AB538" s="263"/>
      <c r="AC538" s="263"/>
      <c r="AD538" s="263"/>
      <c r="AE538" s="263"/>
      <c r="AF538" s="263"/>
      <c r="AG538" s="263"/>
      <c r="AH538" s="263"/>
      <c r="AI538" s="263"/>
      <c r="AJ538" s="263"/>
      <c r="AK538" s="263"/>
      <c r="AL538" s="263"/>
      <c r="AM538" s="263"/>
      <c r="AN538" s="263"/>
      <c r="AO538" s="263"/>
    </row>
    <row r="539" spans="1:41" ht="46.5" customHeight="1">
      <c r="A539" s="263" t="s">
        <v>1334</v>
      </c>
      <c r="B539" s="263"/>
      <c r="C539" s="263"/>
      <c r="D539" s="263"/>
      <c r="E539" s="263"/>
      <c r="F539" s="263"/>
      <c r="G539" s="263"/>
      <c r="H539" s="263"/>
      <c r="I539" s="263"/>
      <c r="J539" s="263"/>
      <c r="K539" s="263"/>
      <c r="L539" s="263"/>
      <c r="M539" s="263"/>
      <c r="N539" s="263"/>
      <c r="O539" s="263"/>
      <c r="P539" s="263"/>
      <c r="Q539" s="263"/>
      <c r="R539" s="263"/>
      <c r="S539" s="263"/>
      <c r="T539" s="263"/>
      <c r="U539" s="263"/>
      <c r="V539" s="263"/>
      <c r="W539" s="263"/>
      <c r="X539" s="263"/>
      <c r="Y539" s="263"/>
      <c r="Z539" s="263"/>
      <c r="AA539" s="263"/>
      <c r="AB539" s="263"/>
      <c r="AC539" s="263"/>
      <c r="AD539" s="263"/>
      <c r="AE539" s="263"/>
      <c r="AF539" s="263"/>
      <c r="AG539" s="263"/>
      <c r="AH539" s="263"/>
      <c r="AI539" s="263"/>
      <c r="AJ539" s="263"/>
      <c r="AK539" s="263"/>
      <c r="AL539" s="263"/>
      <c r="AM539" s="263"/>
      <c r="AN539" s="263"/>
      <c r="AO539" s="263"/>
    </row>
    <row r="540" spans="1:41" ht="46.5" customHeight="1">
      <c r="A540" s="263" t="s">
        <v>1335</v>
      </c>
      <c r="B540" s="263"/>
      <c r="C540" s="263"/>
      <c r="D540" s="263"/>
      <c r="E540" s="263"/>
      <c r="F540" s="263"/>
      <c r="G540" s="263"/>
      <c r="H540" s="263"/>
      <c r="I540" s="263"/>
      <c r="J540" s="263"/>
      <c r="K540" s="263"/>
      <c r="L540" s="263"/>
      <c r="M540" s="263"/>
      <c r="N540" s="263"/>
      <c r="O540" s="263"/>
      <c r="P540" s="263"/>
      <c r="Q540" s="263"/>
      <c r="R540" s="263"/>
      <c r="S540" s="263"/>
      <c r="T540" s="263"/>
      <c r="U540" s="263"/>
      <c r="V540" s="263"/>
      <c r="W540" s="263"/>
      <c r="X540" s="263"/>
      <c r="Y540" s="263"/>
      <c r="Z540" s="263"/>
      <c r="AA540" s="263"/>
      <c r="AB540" s="263"/>
      <c r="AC540" s="263"/>
      <c r="AD540" s="263"/>
      <c r="AE540" s="263"/>
      <c r="AF540" s="263"/>
      <c r="AG540" s="263"/>
      <c r="AH540" s="263"/>
      <c r="AI540" s="263"/>
      <c r="AJ540" s="263"/>
      <c r="AK540" s="263"/>
      <c r="AL540" s="263"/>
      <c r="AM540" s="263"/>
      <c r="AN540" s="263"/>
      <c r="AO540" s="263"/>
    </row>
    <row r="541" spans="1:41" ht="46.5" customHeight="1">
      <c r="A541" s="263" t="s">
        <v>1336</v>
      </c>
      <c r="B541" s="263"/>
      <c r="C541" s="263"/>
      <c r="D541" s="263"/>
      <c r="E541" s="263"/>
      <c r="F541" s="263"/>
      <c r="G541" s="263"/>
      <c r="H541" s="263"/>
      <c r="I541" s="263"/>
      <c r="J541" s="263"/>
      <c r="K541" s="263"/>
      <c r="L541" s="263"/>
      <c r="M541" s="263"/>
      <c r="N541" s="263"/>
      <c r="O541" s="263"/>
      <c r="P541" s="263"/>
      <c r="Q541" s="263"/>
      <c r="R541" s="263"/>
      <c r="S541" s="263"/>
      <c r="T541" s="263"/>
      <c r="U541" s="263"/>
      <c r="V541" s="263"/>
      <c r="W541" s="263"/>
      <c r="X541" s="263"/>
      <c r="Y541" s="263"/>
      <c r="Z541" s="263"/>
      <c r="AA541" s="263"/>
      <c r="AB541" s="263"/>
      <c r="AC541" s="263"/>
      <c r="AD541" s="263"/>
      <c r="AE541" s="263"/>
      <c r="AF541" s="263"/>
      <c r="AG541" s="263"/>
      <c r="AH541" s="263"/>
      <c r="AI541" s="263"/>
      <c r="AJ541" s="263"/>
      <c r="AK541" s="263"/>
      <c r="AL541" s="263"/>
      <c r="AM541" s="263"/>
      <c r="AN541" s="263"/>
      <c r="AO541" s="263"/>
    </row>
    <row r="542" spans="1:41" ht="46.5" customHeight="1">
      <c r="A542" s="263" t="s">
        <v>1337</v>
      </c>
      <c r="B542" s="263"/>
      <c r="C542" s="263"/>
      <c r="D542" s="263"/>
      <c r="E542" s="263"/>
      <c r="F542" s="263"/>
      <c r="G542" s="263"/>
      <c r="H542" s="263"/>
      <c r="I542" s="263"/>
      <c r="J542" s="263"/>
      <c r="K542" s="263"/>
      <c r="L542" s="263"/>
      <c r="M542" s="263"/>
      <c r="N542" s="263"/>
      <c r="O542" s="263"/>
      <c r="P542" s="263"/>
      <c r="Q542" s="263"/>
      <c r="R542" s="263"/>
      <c r="S542" s="263"/>
      <c r="T542" s="263"/>
      <c r="U542" s="263"/>
      <c r="V542" s="263"/>
      <c r="W542" s="263"/>
      <c r="X542" s="263"/>
      <c r="Y542" s="263"/>
      <c r="Z542" s="263"/>
      <c r="AA542" s="263"/>
      <c r="AB542" s="263"/>
      <c r="AC542" s="263"/>
      <c r="AD542" s="263"/>
      <c r="AE542" s="263"/>
      <c r="AF542" s="263"/>
      <c r="AG542" s="263"/>
      <c r="AH542" s="263"/>
      <c r="AI542" s="263"/>
      <c r="AJ542" s="263"/>
      <c r="AK542" s="263"/>
      <c r="AL542" s="263"/>
      <c r="AM542" s="263"/>
      <c r="AN542" s="263"/>
      <c r="AO542" s="263"/>
    </row>
    <row r="543" spans="1:41" ht="46.5" customHeight="1">
      <c r="A543" s="263" t="s">
        <v>1338</v>
      </c>
      <c r="B543" s="263"/>
      <c r="C543" s="263"/>
      <c r="D543" s="263"/>
      <c r="E543" s="263"/>
      <c r="F543" s="263"/>
      <c r="G543" s="263"/>
      <c r="H543" s="263"/>
      <c r="I543" s="263"/>
      <c r="J543" s="263"/>
      <c r="K543" s="263"/>
      <c r="L543" s="263"/>
      <c r="M543" s="263"/>
      <c r="N543" s="263"/>
      <c r="O543" s="263"/>
      <c r="P543" s="263"/>
      <c r="Q543" s="263"/>
      <c r="R543" s="263"/>
      <c r="S543" s="263"/>
      <c r="T543" s="263"/>
      <c r="U543" s="263"/>
      <c r="V543" s="263"/>
      <c r="W543" s="263"/>
      <c r="X543" s="263"/>
      <c r="Y543" s="263"/>
      <c r="Z543" s="263"/>
      <c r="AA543" s="263"/>
      <c r="AB543" s="263"/>
      <c r="AC543" s="263"/>
      <c r="AD543" s="263"/>
      <c r="AE543" s="263"/>
      <c r="AF543" s="263"/>
      <c r="AG543" s="263"/>
      <c r="AH543" s="263"/>
      <c r="AI543" s="263"/>
      <c r="AJ543" s="263"/>
      <c r="AK543" s="263"/>
      <c r="AL543" s="263"/>
      <c r="AM543" s="263"/>
      <c r="AN543" s="263"/>
      <c r="AO543" s="263"/>
    </row>
    <row r="544" spans="1:41" ht="46.5" customHeight="1">
      <c r="A544" s="263" t="s">
        <v>1339</v>
      </c>
      <c r="B544" s="263"/>
      <c r="C544" s="263"/>
      <c r="D544" s="263"/>
      <c r="E544" s="263"/>
      <c r="F544" s="263"/>
      <c r="G544" s="263"/>
      <c r="H544" s="263"/>
      <c r="I544" s="263"/>
      <c r="J544" s="263"/>
      <c r="K544" s="263"/>
      <c r="L544" s="263"/>
      <c r="M544" s="263"/>
      <c r="N544" s="263"/>
      <c r="O544" s="263"/>
      <c r="P544" s="263"/>
      <c r="Q544" s="263"/>
      <c r="R544" s="263"/>
      <c r="S544" s="263"/>
      <c r="T544" s="263"/>
      <c r="U544" s="263"/>
      <c r="V544" s="263"/>
      <c r="W544" s="263"/>
      <c r="X544" s="263"/>
      <c r="Y544" s="263"/>
      <c r="Z544" s="263"/>
      <c r="AA544" s="263"/>
      <c r="AB544" s="263"/>
      <c r="AC544" s="263"/>
      <c r="AD544" s="263"/>
      <c r="AE544" s="263"/>
      <c r="AF544" s="263"/>
      <c r="AG544" s="263"/>
      <c r="AH544" s="263"/>
      <c r="AI544" s="263"/>
      <c r="AJ544" s="263"/>
      <c r="AK544" s="263"/>
      <c r="AL544" s="263"/>
      <c r="AM544" s="263"/>
      <c r="AN544" s="263"/>
      <c r="AO544" s="263"/>
    </row>
    <row r="545" spans="1:41" ht="46.5" customHeight="1">
      <c r="A545" s="263" t="s">
        <v>1340</v>
      </c>
      <c r="B545" s="263"/>
      <c r="C545" s="263"/>
      <c r="D545" s="263"/>
      <c r="E545" s="263"/>
      <c r="F545" s="263"/>
      <c r="G545" s="263"/>
      <c r="H545" s="263"/>
      <c r="I545" s="263"/>
      <c r="J545" s="263"/>
      <c r="K545" s="263"/>
      <c r="L545" s="263"/>
      <c r="M545" s="263"/>
      <c r="N545" s="263"/>
      <c r="O545" s="263"/>
      <c r="P545" s="263"/>
      <c r="Q545" s="263"/>
      <c r="R545" s="263"/>
      <c r="S545" s="263"/>
      <c r="T545" s="263"/>
      <c r="U545" s="263"/>
      <c r="V545" s="263"/>
      <c r="W545" s="263"/>
      <c r="X545" s="263"/>
      <c r="Y545" s="263"/>
      <c r="Z545" s="263"/>
      <c r="AA545" s="263"/>
      <c r="AB545" s="263"/>
      <c r="AC545" s="263"/>
      <c r="AD545" s="263"/>
      <c r="AE545" s="263"/>
      <c r="AF545" s="263"/>
      <c r="AG545" s="263"/>
      <c r="AH545" s="263"/>
      <c r="AI545" s="263"/>
      <c r="AJ545" s="263"/>
      <c r="AK545" s="263"/>
      <c r="AL545" s="263"/>
      <c r="AM545" s="263"/>
      <c r="AN545" s="263"/>
      <c r="AO545" s="263"/>
    </row>
    <row r="546" spans="1:41" ht="46.5" customHeight="1">
      <c r="A546" s="263">
        <v>10</v>
      </c>
      <c r="B546" s="263"/>
      <c r="C546" s="263"/>
      <c r="D546" s="263"/>
      <c r="E546" s="263"/>
      <c r="F546" s="263"/>
      <c r="G546" s="263"/>
      <c r="H546" s="263"/>
      <c r="I546" s="263"/>
      <c r="J546" s="263"/>
      <c r="K546" s="263"/>
      <c r="L546" s="263"/>
      <c r="M546" s="263"/>
      <c r="N546" s="263"/>
      <c r="O546" s="263"/>
      <c r="P546" s="263"/>
      <c r="Q546" s="263"/>
      <c r="R546" s="263"/>
      <c r="S546" s="263"/>
      <c r="T546" s="263"/>
      <c r="U546" s="263"/>
      <c r="V546" s="263"/>
      <c r="W546" s="263"/>
      <c r="X546" s="263"/>
      <c r="Y546" s="263"/>
      <c r="Z546" s="263"/>
      <c r="AA546" s="263"/>
      <c r="AB546" s="263"/>
      <c r="AC546" s="263"/>
      <c r="AD546" s="263"/>
      <c r="AE546" s="263"/>
      <c r="AF546" s="263"/>
      <c r="AG546" s="263"/>
      <c r="AH546" s="263"/>
      <c r="AI546" s="263"/>
      <c r="AJ546" s="263"/>
      <c r="AK546" s="263"/>
      <c r="AL546" s="263"/>
      <c r="AM546" s="263"/>
      <c r="AN546" s="263"/>
      <c r="AO546" s="263"/>
    </row>
  </sheetData>
  <sheetProtection password="ED11" sheet="1"/>
  <protectedRanges>
    <protectedRange sqref="B18" name="Rango72"/>
    <protectedRange sqref="AE451:AR451" name="Rango68"/>
    <protectedRange sqref="AP389:AR393" name="Rango55"/>
    <protectedRange sqref="A430:S443" name="Rango65"/>
    <protectedRange sqref="A403:S422" name="Rango64"/>
    <protectedRange sqref="A358:X366" name="Rango62"/>
    <protectedRange sqref="A537:AO546" name="Rango59"/>
    <protectedRange sqref="A524:AO527" name="Rango57"/>
    <protectedRange sqref="G459:AN463" name="Rango53"/>
    <protectedRange sqref="AM429:AR443" name="Rango51"/>
    <protectedRange sqref="T430:Z443" name="Rango50"/>
    <protectedRange sqref="AM403:AR422" name="Rango48"/>
    <protectedRange sqref="AA403:AC422" name="Rango47"/>
    <protectedRange sqref="T403:Z422" name="Rango46"/>
    <protectedRange sqref="M349:AP349" name="Rango44"/>
    <protectedRange sqref="A297:AD304" name="Rango40"/>
    <protectedRange sqref="G241:J252 S241:V252 AE241:AH252 AE259:AH270 S259:V270 G259:J270 G277:J288 S277:V288 AE277:AH288" name="Rango28"/>
    <protectedRange sqref="Q229:V231" name="Rango27"/>
    <protectedRange sqref="F224:K224" name="Rango26"/>
    <protectedRange sqref="K212:AN215" name="Rango23"/>
    <protectedRange sqref="K205:AN208" name="Rango22"/>
    <protectedRange sqref="A198:AN200" name="Rango21"/>
    <protectedRange sqref="A157:AN165" name="Rango17"/>
    <protectedRange sqref="A143:AN152" name="Rango16"/>
    <protectedRange sqref="A129:AN138" name="Rango15"/>
    <protectedRange sqref="A116:AK118" name="Rango14"/>
    <protectedRange sqref="G105:AJ108" name="Rango13"/>
    <protectedRange sqref="G105:AJ108" name="Rango12"/>
    <protectedRange sqref="A103" name="Rango11"/>
    <protectedRange sqref="I102" name="Rango10"/>
    <protectedRange sqref="A94:AR96" name="Rango9"/>
    <protectedRange sqref="A77" name="Rango8"/>
    <protectedRange sqref="A67:AJ71" name="Rango7"/>
    <protectedRange sqref="A61:AJ65" name="Rango6"/>
    <protectedRange sqref="B10:AO11" name="Rango1"/>
    <protectedRange sqref="B14:AO15" name="Rango2"/>
    <protectedRange sqref="R21 R23" name="Rango4"/>
    <protectedRange sqref="AN21" name="Rango5"/>
    <protectedRange sqref="S173:U178" name="Rango18"/>
    <protectedRange sqref="Y178" name="Rango19"/>
    <protectedRange sqref="A184:AN190" name="Rango20"/>
    <protectedRange sqref="A318:AD322 A327:AD331 A336:AD340" name="Rango41"/>
    <protectedRange sqref="A469:AR478" name="Rango45"/>
    <protectedRange sqref="A389:AJ393" name="Rango49"/>
    <protectedRange sqref="G459:AN463" name="Rango52"/>
    <protectedRange sqref="K487:AO490" name="Rango54"/>
    <protectedRange sqref="A511:AN513 A515:AN516" name="Rango56"/>
    <protectedRange sqref="A530" name="Rango58"/>
    <protectedRange sqref="R21 R23" name="Rango60"/>
    <protectedRange sqref="AN21" name="Rango61"/>
    <protectedRange sqref="T430:AC443" name="Rango63"/>
    <protectedRange sqref="I375:K382" name="Rango66"/>
    <protectedRange sqref="AE451:AR451" name="Rango67"/>
    <protectedRange sqref="L18:X19 Z18:AO19" name="Rango3_1"/>
    <protectedRange sqref="B18" name="Rango69"/>
    <protectedRange sqref="L18" name="Rango70"/>
    <protectedRange sqref="Z18" name="Rango71"/>
  </protectedRanges>
  <mergeCells count="1453">
    <mergeCell ref="B17:J17"/>
    <mergeCell ref="B18:J19"/>
    <mergeCell ref="Z17:AO17"/>
    <mergeCell ref="Z18:AO19"/>
    <mergeCell ref="L17:X17"/>
    <mergeCell ref="L18:X19"/>
    <mergeCell ref="B6:AO6"/>
    <mergeCell ref="K489:AO489"/>
    <mergeCell ref="AM443:AN443"/>
    <mergeCell ref="AB511:AN511"/>
    <mergeCell ref="A468:H468"/>
    <mergeCell ref="T511:AA511"/>
    <mergeCell ref="K500:Q500"/>
    <mergeCell ref="A485:AO485"/>
    <mergeCell ref="AO468:AR468"/>
    <mergeCell ref="A489:J489"/>
    <mergeCell ref="K490:AO490"/>
    <mergeCell ref="A483:AN483"/>
    <mergeCell ref="O205:AF205"/>
    <mergeCell ref="A451:AD451"/>
    <mergeCell ref="AE451:AR451"/>
    <mergeCell ref="AS452:AX452"/>
    <mergeCell ref="AS453:AX453"/>
    <mergeCell ref="A452:AD453"/>
    <mergeCell ref="O208:AF208"/>
    <mergeCell ref="A444:AC444"/>
    <mergeCell ref="AE452:AR452"/>
    <mergeCell ref="AD430:AL430"/>
    <mergeCell ref="I476:L476"/>
    <mergeCell ref="M476:P476"/>
    <mergeCell ref="AG211:AN211"/>
    <mergeCell ref="A433:S433"/>
    <mergeCell ref="T433:Z433"/>
    <mergeCell ref="T429:Z429"/>
    <mergeCell ref="A430:S430"/>
    <mergeCell ref="A428:S428"/>
    <mergeCell ref="K204:N204"/>
    <mergeCell ref="K205:N205"/>
    <mergeCell ref="K206:N206"/>
    <mergeCell ref="K207:N207"/>
    <mergeCell ref="K208:N208"/>
    <mergeCell ref="O204:AF204"/>
    <mergeCell ref="O207:AF207"/>
    <mergeCell ref="AG205:AN205"/>
    <mergeCell ref="AG206:AN206"/>
    <mergeCell ref="AG207:AN207"/>
    <mergeCell ref="AG208:AN208"/>
    <mergeCell ref="A425:AR425"/>
    <mergeCell ref="AO420:AR420"/>
    <mergeCell ref="K211:N211"/>
    <mergeCell ref="O211:AF211"/>
    <mergeCell ref="O206:AF206"/>
    <mergeCell ref="AO414:AR414"/>
    <mergeCell ref="AS449:AX449"/>
    <mergeCell ref="AA443:AC443"/>
    <mergeCell ref="AO440:AR440"/>
    <mergeCell ref="AO441:AR441"/>
    <mergeCell ref="AO442:AR442"/>
    <mergeCell ref="AO443:AR443"/>
    <mergeCell ref="AS448:AX448"/>
    <mergeCell ref="AD443:AL443"/>
    <mergeCell ref="AA442:AC442"/>
    <mergeCell ref="AD442:AL442"/>
    <mergeCell ref="AM442:AN442"/>
    <mergeCell ref="A420:S420"/>
    <mergeCell ref="T428:Z428"/>
    <mergeCell ref="AA431:AC431"/>
    <mergeCell ref="T430:Z430"/>
    <mergeCell ref="AD444:AR444"/>
    <mergeCell ref="AD440:AL440"/>
    <mergeCell ref="AM440:AN440"/>
    <mergeCell ref="AA441:AC441"/>
    <mergeCell ref="AD438:AL438"/>
    <mergeCell ref="A440:S440"/>
    <mergeCell ref="T440:Z440"/>
    <mergeCell ref="AO433:AR433"/>
    <mergeCell ref="AO439:AR439"/>
    <mergeCell ref="A439:S439"/>
    <mergeCell ref="T439:Z439"/>
    <mergeCell ref="AD439:AL439"/>
    <mergeCell ref="AM434:AN434"/>
    <mergeCell ref="AO436:AR436"/>
    <mergeCell ref="AO437:AR437"/>
    <mergeCell ref="AA440:AC440"/>
    <mergeCell ref="AD432:AL432"/>
    <mergeCell ref="AM432:AN432"/>
    <mergeCell ref="AM435:AN435"/>
    <mergeCell ref="AD433:AL433"/>
    <mergeCell ref="AM433:AN433"/>
    <mergeCell ref="AA438:AC438"/>
    <mergeCell ref="AM439:AN439"/>
    <mergeCell ref="AD437:AL437"/>
    <mergeCell ref="AA432:AC432"/>
    <mergeCell ref="AM431:AN431"/>
    <mergeCell ref="AA430:AC430"/>
    <mergeCell ref="AD434:AL434"/>
    <mergeCell ref="AO431:AR431"/>
    <mergeCell ref="AM429:AN429"/>
    <mergeCell ref="AO430:AR430"/>
    <mergeCell ref="AA433:AC433"/>
    <mergeCell ref="AD429:AL429"/>
    <mergeCell ref="AM430:AN430"/>
    <mergeCell ref="AD431:AL431"/>
    <mergeCell ref="T437:Z437"/>
    <mergeCell ref="AO435:AR435"/>
    <mergeCell ref="AM436:AN436"/>
    <mergeCell ref="AM438:AN438"/>
    <mergeCell ref="AM437:AN437"/>
    <mergeCell ref="AO438:AR438"/>
    <mergeCell ref="A437:S437"/>
    <mergeCell ref="AA436:AC436"/>
    <mergeCell ref="AD436:AL436"/>
    <mergeCell ref="AD435:AL435"/>
    <mergeCell ref="T435:Z435"/>
    <mergeCell ref="AO432:AR432"/>
    <mergeCell ref="AA435:AC435"/>
    <mergeCell ref="T436:Z436"/>
    <mergeCell ref="AA434:AC434"/>
    <mergeCell ref="AA437:AC437"/>
    <mergeCell ref="A429:S429"/>
    <mergeCell ref="T432:Z432"/>
    <mergeCell ref="A434:S434"/>
    <mergeCell ref="T434:Z434"/>
    <mergeCell ref="A436:S436"/>
    <mergeCell ref="A435:S435"/>
    <mergeCell ref="AM428:AN428"/>
    <mergeCell ref="AA429:AC429"/>
    <mergeCell ref="AO429:AR429"/>
    <mergeCell ref="AM422:AN422"/>
    <mergeCell ref="AO422:AR422"/>
    <mergeCell ref="AA428:AC428"/>
    <mergeCell ref="AD428:AL428"/>
    <mergeCell ref="AO428:AR428"/>
    <mergeCell ref="A423:AC423"/>
    <mergeCell ref="A427:AL427"/>
    <mergeCell ref="AA420:AC420"/>
    <mergeCell ref="AD420:AL420"/>
    <mergeCell ref="AA422:AC422"/>
    <mergeCell ref="AD422:AL422"/>
    <mergeCell ref="AD419:AL419"/>
    <mergeCell ref="AD421:AL421"/>
    <mergeCell ref="AO421:AR421"/>
    <mergeCell ref="A421:S421"/>
    <mergeCell ref="T421:Z421"/>
    <mergeCell ref="AD423:AR423"/>
    <mergeCell ref="AC478:AF478"/>
    <mergeCell ref="A472:H472"/>
    <mergeCell ref="I472:L472"/>
    <mergeCell ref="A475:H475"/>
    <mergeCell ref="I475:L475"/>
    <mergeCell ref="AM427:AR427"/>
    <mergeCell ref="A519:AN519"/>
    <mergeCell ref="A515:J515"/>
    <mergeCell ref="K515:S515"/>
    <mergeCell ref="T515:AA515"/>
    <mergeCell ref="AB515:AN515"/>
    <mergeCell ref="AA419:AC419"/>
    <mergeCell ref="AM419:AN419"/>
    <mergeCell ref="A516:J516"/>
    <mergeCell ref="AM421:AN421"/>
    <mergeCell ref="T420:Z420"/>
    <mergeCell ref="K516:S516"/>
    <mergeCell ref="T516:AA516"/>
    <mergeCell ref="AB516:AN516"/>
    <mergeCell ref="A510:J510"/>
    <mergeCell ref="K510:S510"/>
    <mergeCell ref="T510:AA510"/>
    <mergeCell ref="AB510:AN510"/>
    <mergeCell ref="A511:J511"/>
    <mergeCell ref="K511:S511"/>
    <mergeCell ref="T512:AA512"/>
    <mergeCell ref="A487:J487"/>
    <mergeCell ref="A488:J488"/>
    <mergeCell ref="R500:AN500"/>
    <mergeCell ref="K499:Q499"/>
    <mergeCell ref="R499:AN499"/>
    <mergeCell ref="A490:J490"/>
    <mergeCell ref="K487:AO487"/>
    <mergeCell ref="K488:AO488"/>
    <mergeCell ref="R497:AN497"/>
    <mergeCell ref="A494:AN495"/>
    <mergeCell ref="K501:Q501"/>
    <mergeCell ref="R501:AN501"/>
    <mergeCell ref="A497:J497"/>
    <mergeCell ref="K497:Q497"/>
    <mergeCell ref="A498:J498"/>
    <mergeCell ref="A500:J500"/>
    <mergeCell ref="K498:Q498"/>
    <mergeCell ref="A499:J499"/>
    <mergeCell ref="A501:J501"/>
    <mergeCell ref="R498:AN498"/>
    <mergeCell ref="A219:AN220"/>
    <mergeCell ref="A292:AN293"/>
    <mergeCell ref="A316:Y316"/>
    <mergeCell ref="M472:P472"/>
    <mergeCell ref="Q472:T472"/>
    <mergeCell ref="A131:N131"/>
    <mergeCell ref="AA421:AC421"/>
    <mergeCell ref="AG468:AJ468"/>
    <mergeCell ref="AK468:AN468"/>
    <mergeCell ref="AM420:AN420"/>
    <mergeCell ref="AB512:AN512"/>
    <mergeCell ref="A513:J513"/>
    <mergeCell ref="K513:S513"/>
    <mergeCell ref="T513:AA513"/>
    <mergeCell ref="AB513:AN513"/>
    <mergeCell ref="K512:S512"/>
    <mergeCell ref="A512:J512"/>
    <mergeCell ref="M475:P475"/>
    <mergeCell ref="Q475:T475"/>
    <mergeCell ref="K503:Q503"/>
    <mergeCell ref="R503:AN503"/>
    <mergeCell ref="A502:J502"/>
    <mergeCell ref="A503:J503"/>
    <mergeCell ref="K502:Q502"/>
    <mergeCell ref="R502:AN502"/>
    <mergeCell ref="AC479:AF479"/>
    <mergeCell ref="M479:P479"/>
    <mergeCell ref="O131:W131"/>
    <mergeCell ref="X131:AE131"/>
    <mergeCell ref="AF131:AN131"/>
    <mergeCell ref="A132:N132"/>
    <mergeCell ref="AK472:AN472"/>
    <mergeCell ref="A473:H473"/>
    <mergeCell ref="I473:L473"/>
    <mergeCell ref="M473:P473"/>
    <mergeCell ref="A398:AO398"/>
    <mergeCell ref="A133:N133"/>
    <mergeCell ref="A127:AN127"/>
    <mergeCell ref="A120:AN120"/>
    <mergeCell ref="A128:N128"/>
    <mergeCell ref="O128:W128"/>
    <mergeCell ref="X128:AE128"/>
    <mergeCell ref="AF128:AN128"/>
    <mergeCell ref="A121:AN124"/>
    <mergeCell ref="O133:W133"/>
    <mergeCell ref="A209:AF209"/>
    <mergeCell ref="X133:AE133"/>
    <mergeCell ref="AF133:AN133"/>
    <mergeCell ref="A136:N136"/>
    <mergeCell ref="O136:W136"/>
    <mergeCell ref="X136:AE136"/>
    <mergeCell ref="O135:W135"/>
    <mergeCell ref="X135:AE135"/>
    <mergeCell ref="AF135:AN135"/>
    <mergeCell ref="A137:N137"/>
    <mergeCell ref="O137:W137"/>
    <mergeCell ref="X137:AE137"/>
    <mergeCell ref="AM414:AN414"/>
    <mergeCell ref="AF137:AN137"/>
    <mergeCell ref="A134:N134"/>
    <mergeCell ref="O134:W134"/>
    <mergeCell ref="A371:AO372"/>
    <mergeCell ref="AF136:AN136"/>
    <mergeCell ref="A146:N146"/>
    <mergeCell ref="A107:F107"/>
    <mergeCell ref="A115:J115"/>
    <mergeCell ref="K115:X115"/>
    <mergeCell ref="Y115:AE115"/>
    <mergeCell ref="G107:AJ107"/>
    <mergeCell ref="G108:AJ108"/>
    <mergeCell ref="A111:AN113"/>
    <mergeCell ref="AF115:AK115"/>
    <mergeCell ref="A110:AO110"/>
    <mergeCell ref="K116:X116"/>
    <mergeCell ref="Y116:AE116"/>
    <mergeCell ref="A117:J117"/>
    <mergeCell ref="K117:X117"/>
    <mergeCell ref="Y117:AE117"/>
    <mergeCell ref="Y118:AE118"/>
    <mergeCell ref="A118:J118"/>
    <mergeCell ref="K118:X118"/>
    <mergeCell ref="A116:J116"/>
    <mergeCell ref="AF116:AK116"/>
    <mergeCell ref="AL116:AN116"/>
    <mergeCell ref="AF117:AK117"/>
    <mergeCell ref="AL117:AN117"/>
    <mergeCell ref="AF118:AK118"/>
    <mergeCell ref="AL118:AN118"/>
    <mergeCell ref="AK95:AR95"/>
    <mergeCell ref="A94:H94"/>
    <mergeCell ref="I94:Q94"/>
    <mergeCell ref="R94:W94"/>
    <mergeCell ref="X94:AB94"/>
    <mergeCell ref="AC94:AJ94"/>
    <mergeCell ref="AK94:AR94"/>
    <mergeCell ref="A95:H95"/>
    <mergeCell ref="I95:Q95"/>
    <mergeCell ref="R95:W95"/>
    <mergeCell ref="X95:AB95"/>
    <mergeCell ref="AC95:AJ95"/>
    <mergeCell ref="A99:AR100"/>
    <mergeCell ref="A105:F105"/>
    <mergeCell ref="A106:F106"/>
    <mergeCell ref="A96:H96"/>
    <mergeCell ref="I96:Q96"/>
    <mergeCell ref="R96:W96"/>
    <mergeCell ref="X96:AB96"/>
    <mergeCell ref="AC96:AJ96"/>
    <mergeCell ref="AK96:AR96"/>
    <mergeCell ref="G106:AJ106"/>
    <mergeCell ref="G105:AJ105"/>
    <mergeCell ref="A102:H102"/>
    <mergeCell ref="I102:AH102"/>
    <mergeCell ref="A103:AH103"/>
    <mergeCell ref="A98:AO98"/>
    <mergeCell ref="X93:AB93"/>
    <mergeCell ref="A93:H93"/>
    <mergeCell ref="R93:W93"/>
    <mergeCell ref="B7:AO7"/>
    <mergeCell ref="B9:Q9"/>
    <mergeCell ref="B10:Q11"/>
    <mergeCell ref="T9:Z9"/>
    <mergeCell ref="AC9:AO9"/>
    <mergeCell ref="T10:Z11"/>
    <mergeCell ref="AC10:AO11"/>
    <mergeCell ref="B13:Q13"/>
    <mergeCell ref="T13:Z13"/>
    <mergeCell ref="AC13:AO13"/>
    <mergeCell ref="B14:Q15"/>
    <mergeCell ref="T14:Z15"/>
    <mergeCell ref="AC14:AO15"/>
    <mergeCell ref="AN21:AP21"/>
    <mergeCell ref="A26:AP28"/>
    <mergeCell ref="B21:Q21"/>
    <mergeCell ref="U21:AM21"/>
    <mergeCell ref="R21:T21"/>
    <mergeCell ref="A48:AR50"/>
    <mergeCell ref="A89:AO89"/>
    <mergeCell ref="B23:Q23"/>
    <mergeCell ref="R23:T23"/>
    <mergeCell ref="A25:AH25"/>
    <mergeCell ref="O132:W132"/>
    <mergeCell ref="X132:AE132"/>
    <mergeCell ref="AF132:AN132"/>
    <mergeCell ref="A54:AN55"/>
    <mergeCell ref="S67:AJ71"/>
    <mergeCell ref="A74:AN75"/>
    <mergeCell ref="A77:AJ87"/>
    <mergeCell ref="A57:R59"/>
    <mergeCell ref="S57:AJ59"/>
    <mergeCell ref="A129:N129"/>
    <mergeCell ref="O129:W129"/>
    <mergeCell ref="X129:AE129"/>
    <mergeCell ref="AF129:AN129"/>
    <mergeCell ref="A90:AN91"/>
    <mergeCell ref="AK93:AR93"/>
    <mergeCell ref="AC93:AJ93"/>
    <mergeCell ref="A130:N130"/>
    <mergeCell ref="O130:W130"/>
    <mergeCell ref="X130:AE130"/>
    <mergeCell ref="AF130:AN130"/>
    <mergeCell ref="A60:AJ60"/>
    <mergeCell ref="A61:R65"/>
    <mergeCell ref="S61:AJ65"/>
    <mergeCell ref="A66:AJ66"/>
    <mergeCell ref="A67:R71"/>
    <mergeCell ref="I93:Q93"/>
    <mergeCell ref="A52:AO52"/>
    <mergeCell ref="A73:AO73"/>
    <mergeCell ref="O145:W145"/>
    <mergeCell ref="X145:AE145"/>
    <mergeCell ref="AF145:AN145"/>
    <mergeCell ref="AF144:AN144"/>
    <mergeCell ref="X134:AE134"/>
    <mergeCell ref="AF134:AN134"/>
    <mergeCell ref="A135:N135"/>
    <mergeCell ref="A141:AN141"/>
    <mergeCell ref="O146:W146"/>
    <mergeCell ref="X146:AE146"/>
    <mergeCell ref="AF146:AN146"/>
    <mergeCell ref="A143:N143"/>
    <mergeCell ref="O143:W143"/>
    <mergeCell ref="X143:AE143"/>
    <mergeCell ref="AF143:AN143"/>
    <mergeCell ref="A144:N144"/>
    <mergeCell ref="O144:W144"/>
    <mergeCell ref="X144:AE144"/>
    <mergeCell ref="A142:N142"/>
    <mergeCell ref="O142:W142"/>
    <mergeCell ref="X142:AE142"/>
    <mergeCell ref="AF142:AN142"/>
    <mergeCell ref="A138:N138"/>
    <mergeCell ref="O138:W138"/>
    <mergeCell ref="X138:AE138"/>
    <mergeCell ref="AF138:AN138"/>
    <mergeCell ref="A140:AN140"/>
    <mergeCell ref="A154:AN154"/>
    <mergeCell ref="A155:AN155"/>
    <mergeCell ref="A156:N156"/>
    <mergeCell ref="O156:W156"/>
    <mergeCell ref="X156:AE156"/>
    <mergeCell ref="AF156:AN156"/>
    <mergeCell ref="A151:N151"/>
    <mergeCell ref="O151:W151"/>
    <mergeCell ref="X151:AE151"/>
    <mergeCell ref="AF151:AN151"/>
    <mergeCell ref="A152:N152"/>
    <mergeCell ref="O152:W152"/>
    <mergeCell ref="X152:AE152"/>
    <mergeCell ref="AF152:AN152"/>
    <mergeCell ref="A149:N149"/>
    <mergeCell ref="O149:W149"/>
    <mergeCell ref="X149:AE149"/>
    <mergeCell ref="AF149:AN149"/>
    <mergeCell ref="A150:N150"/>
    <mergeCell ref="O150:W150"/>
    <mergeCell ref="X150:AE150"/>
    <mergeCell ref="AF150:AN150"/>
    <mergeCell ref="A147:N147"/>
    <mergeCell ref="O147:W147"/>
    <mergeCell ref="X147:AE147"/>
    <mergeCell ref="AF147:AN147"/>
    <mergeCell ref="A148:N148"/>
    <mergeCell ref="O148:W148"/>
    <mergeCell ref="X148:AE148"/>
    <mergeCell ref="AF148:AN148"/>
    <mergeCell ref="A145:N145"/>
    <mergeCell ref="A161:N161"/>
    <mergeCell ref="O161:W161"/>
    <mergeCell ref="X161:AE161"/>
    <mergeCell ref="AF161:AN161"/>
    <mergeCell ref="A162:N162"/>
    <mergeCell ref="O162:W162"/>
    <mergeCell ref="X162:AE162"/>
    <mergeCell ref="AF162:AN162"/>
    <mergeCell ref="A159:N159"/>
    <mergeCell ref="O159:W159"/>
    <mergeCell ref="X159:AE159"/>
    <mergeCell ref="AF159:AN159"/>
    <mergeCell ref="A160:N160"/>
    <mergeCell ref="O160:W160"/>
    <mergeCell ref="X160:AE160"/>
    <mergeCell ref="AF160:AN160"/>
    <mergeCell ref="A157:N157"/>
    <mergeCell ref="O157:W157"/>
    <mergeCell ref="X157:AE157"/>
    <mergeCell ref="AF157:AN157"/>
    <mergeCell ref="A158:N158"/>
    <mergeCell ref="O158:W158"/>
    <mergeCell ref="X158:AE158"/>
    <mergeCell ref="AF158:AN158"/>
    <mergeCell ref="A165:N165"/>
    <mergeCell ref="O165:W165"/>
    <mergeCell ref="X165:AE165"/>
    <mergeCell ref="AF165:AN165"/>
    <mergeCell ref="S172:U172"/>
    <mergeCell ref="A163:N163"/>
    <mergeCell ref="O163:W163"/>
    <mergeCell ref="X163:AE163"/>
    <mergeCell ref="AF163:AN163"/>
    <mergeCell ref="A164:N164"/>
    <mergeCell ref="O164:W164"/>
    <mergeCell ref="X164:AE164"/>
    <mergeCell ref="AF164:AN164"/>
    <mergeCell ref="A186:J186"/>
    <mergeCell ref="K186:Y186"/>
    <mergeCell ref="Z186:AF186"/>
    <mergeCell ref="AG186:AN186"/>
    <mergeCell ref="Z185:AF185"/>
    <mergeCell ref="AG185:AN185"/>
    <mergeCell ref="A167:AN167"/>
    <mergeCell ref="A187:J187"/>
    <mergeCell ref="K187:Y187"/>
    <mergeCell ref="Z187:AF187"/>
    <mergeCell ref="AG187:AN187"/>
    <mergeCell ref="A184:J184"/>
    <mergeCell ref="K184:Y184"/>
    <mergeCell ref="Z184:AF184"/>
    <mergeCell ref="AG184:AN184"/>
    <mergeCell ref="A185:J185"/>
    <mergeCell ref="K185:Y185"/>
    <mergeCell ref="A183:J183"/>
    <mergeCell ref="K183:Y183"/>
    <mergeCell ref="Z183:AF183"/>
    <mergeCell ref="AG183:AN183"/>
    <mergeCell ref="A169:AN170"/>
    <mergeCell ref="A180:AQ181"/>
    <mergeCell ref="S173:U173"/>
    <mergeCell ref="S174:U174"/>
    <mergeCell ref="S175:U175"/>
    <mergeCell ref="S176:U176"/>
    <mergeCell ref="A195:AN195"/>
    <mergeCell ref="A197:AF197"/>
    <mergeCell ref="AG197:AN197"/>
    <mergeCell ref="A204:J204"/>
    <mergeCell ref="A205:J205"/>
    <mergeCell ref="A198:AF198"/>
    <mergeCell ref="AG198:AN198"/>
    <mergeCell ref="A199:AF199"/>
    <mergeCell ref="AG199:AN199"/>
    <mergeCell ref="AG204:AN204"/>
    <mergeCell ref="A188:J188"/>
    <mergeCell ref="K188:Y188"/>
    <mergeCell ref="Z188:AF188"/>
    <mergeCell ref="AG188:AN188"/>
    <mergeCell ref="A189:J189"/>
    <mergeCell ref="K189:Y189"/>
    <mergeCell ref="Z189:AF189"/>
    <mergeCell ref="AG189:AN189"/>
    <mergeCell ref="A203:AN203"/>
    <mergeCell ref="Z190:AN190"/>
    <mergeCell ref="A190:Y190"/>
    <mergeCell ref="A206:J206"/>
    <mergeCell ref="A207:J207"/>
    <mergeCell ref="A208:J208"/>
    <mergeCell ref="A200:AF200"/>
    <mergeCell ref="AG200:AN200"/>
    <mergeCell ref="A201:AF201"/>
    <mergeCell ref="AG201:AN201"/>
    <mergeCell ref="A215:J215"/>
    <mergeCell ref="A213:J213"/>
    <mergeCell ref="A214:J214"/>
    <mergeCell ref="AG209:AN209"/>
    <mergeCell ref="K212:N212"/>
    <mergeCell ref="O212:AF212"/>
    <mergeCell ref="AG212:AN212"/>
    <mergeCell ref="K213:N213"/>
    <mergeCell ref="O213:AF213"/>
    <mergeCell ref="AG213:AN213"/>
    <mergeCell ref="A211:J211"/>
    <mergeCell ref="A212:J212"/>
    <mergeCell ref="Q230:V230"/>
    <mergeCell ref="W230:AB230"/>
    <mergeCell ref="AC230:AH230"/>
    <mergeCell ref="Q228:V228"/>
    <mergeCell ref="W228:AB228"/>
    <mergeCell ref="A228:P228"/>
    <mergeCell ref="A229:P229"/>
    <mergeCell ref="A230:P230"/>
    <mergeCell ref="F222:K222"/>
    <mergeCell ref="A226:AN226"/>
    <mergeCell ref="AC228:AH228"/>
    <mergeCell ref="Q229:V229"/>
    <mergeCell ref="W229:AB229"/>
    <mergeCell ref="AC229:AH229"/>
    <mergeCell ref="I223:K223"/>
    <mergeCell ref="L223:N223"/>
    <mergeCell ref="A223:E223"/>
    <mergeCell ref="A224:E224"/>
    <mergeCell ref="K214:N214"/>
    <mergeCell ref="O214:AF214"/>
    <mergeCell ref="AG214:AN214"/>
    <mergeCell ref="K215:N215"/>
    <mergeCell ref="O215:AF215"/>
    <mergeCell ref="AG215:AN215"/>
    <mergeCell ref="A216:AF216"/>
    <mergeCell ref="AG216:AN216"/>
    <mergeCell ref="A251:F251"/>
    <mergeCell ref="A252:F252"/>
    <mergeCell ref="A246:F246"/>
    <mergeCell ref="A247:F247"/>
    <mergeCell ref="A248:F248"/>
    <mergeCell ref="A249:F249"/>
    <mergeCell ref="A250:F250"/>
    <mergeCell ref="A241:F241"/>
    <mergeCell ref="A242:F242"/>
    <mergeCell ref="A243:F243"/>
    <mergeCell ref="A244:F244"/>
    <mergeCell ref="A245:F245"/>
    <mergeCell ref="G248:J248"/>
    <mergeCell ref="K248:R248"/>
    <mergeCell ref="G247:J247"/>
    <mergeCell ref="G245:J245"/>
    <mergeCell ref="K243:R243"/>
    <mergeCell ref="K245:R245"/>
    <mergeCell ref="AE248:AH248"/>
    <mergeCell ref="AE242:AH242"/>
    <mergeCell ref="S246:V246"/>
    <mergeCell ref="W246:AD246"/>
    <mergeCell ref="AE246:AH246"/>
    <mergeCell ref="S245:V245"/>
    <mergeCell ref="W245:AD245"/>
    <mergeCell ref="AE245:AH245"/>
    <mergeCell ref="F224:H224"/>
    <mergeCell ref="I224:K224"/>
    <mergeCell ref="L224:N224"/>
    <mergeCell ref="M237:AP237"/>
    <mergeCell ref="G239:R239"/>
    <mergeCell ref="S239:AD239"/>
    <mergeCell ref="AE239:AP239"/>
    <mergeCell ref="Q231:V231"/>
    <mergeCell ref="W231:AB231"/>
    <mergeCell ref="AC231:AH231"/>
    <mergeCell ref="W249:AD249"/>
    <mergeCell ref="AE249:AH249"/>
    <mergeCell ref="G244:J244"/>
    <mergeCell ref="K244:R244"/>
    <mergeCell ref="S244:V244"/>
    <mergeCell ref="W244:AD244"/>
    <mergeCell ref="AE244:AH244"/>
    <mergeCell ref="K246:R246"/>
    <mergeCell ref="S248:V248"/>
    <mergeCell ref="W248:AD248"/>
    <mergeCell ref="AI244:AP244"/>
    <mergeCell ref="AI247:AP247"/>
    <mergeCell ref="AE243:AH243"/>
    <mergeCell ref="AI243:AP243"/>
    <mergeCell ref="AI248:AP248"/>
    <mergeCell ref="A234:AO234"/>
    <mergeCell ref="A237:L237"/>
    <mergeCell ref="W240:AD240"/>
    <mergeCell ref="AE240:AH240"/>
    <mergeCell ref="AI240:AP240"/>
    <mergeCell ref="A231:P231"/>
    <mergeCell ref="F223:H223"/>
    <mergeCell ref="AI242:AP242"/>
    <mergeCell ref="AI246:AP246"/>
    <mergeCell ref="A253:F253"/>
    <mergeCell ref="G253:J253"/>
    <mergeCell ref="K253:R253"/>
    <mergeCell ref="G240:J240"/>
    <mergeCell ref="K240:R240"/>
    <mergeCell ref="S240:V240"/>
    <mergeCell ref="G241:J241"/>
    <mergeCell ref="K241:R241"/>
    <mergeCell ref="S241:V241"/>
    <mergeCell ref="W241:AD241"/>
    <mergeCell ref="AE241:AH241"/>
    <mergeCell ref="AI241:AP241"/>
    <mergeCell ref="G242:J242"/>
    <mergeCell ref="K242:R242"/>
    <mergeCell ref="S242:V242"/>
    <mergeCell ref="W242:AD242"/>
    <mergeCell ref="G243:J243"/>
    <mergeCell ref="S243:V243"/>
    <mergeCell ref="W243:AD243"/>
    <mergeCell ref="AI245:AP245"/>
    <mergeCell ref="K247:R247"/>
    <mergeCell ref="S247:V247"/>
    <mergeCell ref="W247:AD247"/>
    <mergeCell ref="AE247:AH247"/>
    <mergeCell ref="G252:J252"/>
    <mergeCell ref="K252:R252"/>
    <mergeCell ref="S252:V252"/>
    <mergeCell ref="W252:AD252"/>
    <mergeCell ref="AI252:AP252"/>
    <mergeCell ref="G251:J251"/>
    <mergeCell ref="K251:R251"/>
    <mergeCell ref="S251:V251"/>
    <mergeCell ref="W251:AD251"/>
    <mergeCell ref="AE251:AH251"/>
    <mergeCell ref="AI251:AP251"/>
    <mergeCell ref="AI249:AP249"/>
    <mergeCell ref="G250:J250"/>
    <mergeCell ref="K250:R250"/>
    <mergeCell ref="S250:V250"/>
    <mergeCell ref="W250:AD250"/>
    <mergeCell ref="AE250:AH250"/>
    <mergeCell ref="AI250:AP250"/>
    <mergeCell ref="G249:J249"/>
    <mergeCell ref="K249:R249"/>
    <mergeCell ref="S249:V249"/>
    <mergeCell ref="AE252:AH252"/>
    <mergeCell ref="G246:J246"/>
    <mergeCell ref="AI258:AP258"/>
    <mergeCell ref="A259:F259"/>
    <mergeCell ref="G259:J259"/>
    <mergeCell ref="K259:R259"/>
    <mergeCell ref="S259:V259"/>
    <mergeCell ref="W259:AD259"/>
    <mergeCell ref="AE259:AH259"/>
    <mergeCell ref="AI259:AP259"/>
    <mergeCell ref="G258:J258"/>
    <mergeCell ref="K258:R258"/>
    <mergeCell ref="S258:V258"/>
    <mergeCell ref="W258:AD258"/>
    <mergeCell ref="AE258:AH258"/>
    <mergeCell ref="A255:L255"/>
    <mergeCell ref="M255:AP255"/>
    <mergeCell ref="G257:R257"/>
    <mergeCell ref="S257:AD257"/>
    <mergeCell ref="AE257:AP257"/>
    <mergeCell ref="S253:V253"/>
    <mergeCell ref="W253:AD253"/>
    <mergeCell ref="A263:F263"/>
    <mergeCell ref="G263:J263"/>
    <mergeCell ref="K263:R263"/>
    <mergeCell ref="S263:V263"/>
    <mergeCell ref="W263:AD263"/>
    <mergeCell ref="G260:J260"/>
    <mergeCell ref="K260:R260"/>
    <mergeCell ref="S260:V260"/>
    <mergeCell ref="AE263:AH263"/>
    <mergeCell ref="AI263:AP263"/>
    <mergeCell ref="A262:F262"/>
    <mergeCell ref="G262:J262"/>
    <mergeCell ref="K262:R262"/>
    <mergeCell ref="S262:V262"/>
    <mergeCell ref="W262:AD262"/>
    <mergeCell ref="AE260:AH260"/>
    <mergeCell ref="AI260:AP260"/>
    <mergeCell ref="A261:F261"/>
    <mergeCell ref="G261:J261"/>
    <mergeCell ref="K261:R261"/>
    <mergeCell ref="S261:V261"/>
    <mergeCell ref="W261:AD261"/>
    <mergeCell ref="AE261:AH261"/>
    <mergeCell ref="AI261:AP261"/>
    <mergeCell ref="A260:F260"/>
    <mergeCell ref="W260:AD260"/>
    <mergeCell ref="AE253:AH253"/>
    <mergeCell ref="AI253:AP253"/>
    <mergeCell ref="AE262:AH262"/>
    <mergeCell ref="AI262:AP262"/>
    <mergeCell ref="AE266:AH266"/>
    <mergeCell ref="AI266:AP266"/>
    <mergeCell ref="AE264:AH264"/>
    <mergeCell ref="AI264:AP264"/>
    <mergeCell ref="AI265:AP265"/>
    <mergeCell ref="AE265:AH265"/>
    <mergeCell ref="AI267:AP267"/>
    <mergeCell ref="AE267:AH267"/>
    <mergeCell ref="A266:F266"/>
    <mergeCell ref="G266:J266"/>
    <mergeCell ref="K266:R266"/>
    <mergeCell ref="S266:V266"/>
    <mergeCell ref="W266:AD266"/>
    <mergeCell ref="A267:F267"/>
    <mergeCell ref="G267:J267"/>
    <mergeCell ref="S270:V270"/>
    <mergeCell ref="W270:AD270"/>
    <mergeCell ref="A265:F265"/>
    <mergeCell ref="G265:J265"/>
    <mergeCell ref="K265:R265"/>
    <mergeCell ref="S265:V265"/>
    <mergeCell ref="W265:AD265"/>
    <mergeCell ref="K267:R267"/>
    <mergeCell ref="S267:V267"/>
    <mergeCell ref="W267:AD267"/>
    <mergeCell ref="G280:J280"/>
    <mergeCell ref="K280:R280"/>
    <mergeCell ref="S280:V280"/>
    <mergeCell ref="W280:AD280"/>
    <mergeCell ref="AE280:AH280"/>
    <mergeCell ref="A264:F264"/>
    <mergeCell ref="G264:J264"/>
    <mergeCell ref="K264:R264"/>
    <mergeCell ref="S264:V264"/>
    <mergeCell ref="W264:AD264"/>
    <mergeCell ref="AE268:AH268"/>
    <mergeCell ref="AI268:AP268"/>
    <mergeCell ref="A269:F269"/>
    <mergeCell ref="G269:J269"/>
    <mergeCell ref="K269:R269"/>
    <mergeCell ref="S269:V269"/>
    <mergeCell ref="W269:AD269"/>
    <mergeCell ref="AE269:AH269"/>
    <mergeCell ref="A268:F268"/>
    <mergeCell ref="G268:J268"/>
    <mergeCell ref="K268:R268"/>
    <mergeCell ref="S268:V268"/>
    <mergeCell ref="W268:AD268"/>
    <mergeCell ref="W279:AD279"/>
    <mergeCell ref="S275:AD275"/>
    <mergeCell ref="A279:F279"/>
    <mergeCell ref="K279:R279"/>
    <mergeCell ref="G279:J279"/>
    <mergeCell ref="K276:R276"/>
    <mergeCell ref="S276:V276"/>
    <mergeCell ref="AA298:AD298"/>
    <mergeCell ref="AE298:AN298"/>
    <mergeCell ref="AA297:AD297"/>
    <mergeCell ref="AE297:AN297"/>
    <mergeCell ref="AE279:AH279"/>
    <mergeCell ref="AI269:AP269"/>
    <mergeCell ref="AE275:AP275"/>
    <mergeCell ref="AI279:AP279"/>
    <mergeCell ref="AI280:AP280"/>
    <mergeCell ref="W276:AD276"/>
    <mergeCell ref="A299:S299"/>
    <mergeCell ref="T299:Z299"/>
    <mergeCell ref="AA299:AD299"/>
    <mergeCell ref="AE299:AN299"/>
    <mergeCell ref="A296:S296"/>
    <mergeCell ref="T296:Z296"/>
    <mergeCell ref="AA296:AD296"/>
    <mergeCell ref="A298:S298"/>
    <mergeCell ref="T298:Z298"/>
    <mergeCell ref="AE296:AN296"/>
    <mergeCell ref="T297:Z297"/>
    <mergeCell ref="AE270:AH270"/>
    <mergeCell ref="AI270:AP270"/>
    <mergeCell ref="A291:AN291"/>
    <mergeCell ref="A295:AN295"/>
    <mergeCell ref="A273:L273"/>
    <mergeCell ref="M273:AP273"/>
    <mergeCell ref="G275:R275"/>
    <mergeCell ref="G276:J276"/>
    <mergeCell ref="A280:F280"/>
    <mergeCell ref="AE276:AH276"/>
    <mergeCell ref="AI276:AP276"/>
    <mergeCell ref="A270:F270"/>
    <mergeCell ref="A271:F271"/>
    <mergeCell ref="G271:J271"/>
    <mergeCell ref="K271:R271"/>
    <mergeCell ref="S271:V271"/>
    <mergeCell ref="W271:AD271"/>
    <mergeCell ref="G270:J270"/>
    <mergeCell ref="K270:R270"/>
    <mergeCell ref="T304:Z304"/>
    <mergeCell ref="G282:J282"/>
    <mergeCell ref="K282:R282"/>
    <mergeCell ref="S282:V282"/>
    <mergeCell ref="AA304:AD304"/>
    <mergeCell ref="A300:S300"/>
    <mergeCell ref="T300:Z300"/>
    <mergeCell ref="AA300:AD300"/>
    <mergeCell ref="G287:J287"/>
    <mergeCell ref="A297:S297"/>
    <mergeCell ref="AE305:AN305"/>
    <mergeCell ref="A302:S302"/>
    <mergeCell ref="T302:Z302"/>
    <mergeCell ref="AA302:AD302"/>
    <mergeCell ref="AE302:AN302"/>
    <mergeCell ref="A303:S303"/>
    <mergeCell ref="T303:Z303"/>
    <mergeCell ref="AA303:AD303"/>
    <mergeCell ref="AE303:AN303"/>
    <mergeCell ref="A304:S304"/>
    <mergeCell ref="R318:Z318"/>
    <mergeCell ref="AA318:AD318"/>
    <mergeCell ref="AE300:AN300"/>
    <mergeCell ref="A301:S301"/>
    <mergeCell ref="T301:Z301"/>
    <mergeCell ref="AA301:AD301"/>
    <mergeCell ref="AE301:AN301"/>
    <mergeCell ref="A305:S305"/>
    <mergeCell ref="T305:Z305"/>
    <mergeCell ref="AE304:AN304"/>
    <mergeCell ref="AE320:AN320"/>
    <mergeCell ref="A319:J319"/>
    <mergeCell ref="K319:Q319"/>
    <mergeCell ref="R319:Z319"/>
    <mergeCell ref="AA319:AD319"/>
    <mergeCell ref="AE319:AN319"/>
    <mergeCell ref="A320:J320"/>
    <mergeCell ref="K320:Q320"/>
    <mergeCell ref="R320:Z320"/>
    <mergeCell ref="AA320:AD320"/>
    <mergeCell ref="AE318:AN318"/>
    <mergeCell ref="A307:AN307"/>
    <mergeCell ref="AE317:AN317"/>
    <mergeCell ref="A317:J317"/>
    <mergeCell ref="K317:Q317"/>
    <mergeCell ref="AA317:AD317"/>
    <mergeCell ref="R317:Z317"/>
    <mergeCell ref="Z316:AN316"/>
    <mergeCell ref="A318:J318"/>
    <mergeCell ref="K318:Q318"/>
    <mergeCell ref="A326:J326"/>
    <mergeCell ref="K326:Q326"/>
    <mergeCell ref="R326:Z326"/>
    <mergeCell ref="AA326:AD326"/>
    <mergeCell ref="AE326:AN326"/>
    <mergeCell ref="AE323:AN323"/>
    <mergeCell ref="A323:AD323"/>
    <mergeCell ref="A325:Y325"/>
    <mergeCell ref="Z325:AN325"/>
    <mergeCell ref="A322:J322"/>
    <mergeCell ref="K322:Q322"/>
    <mergeCell ref="R322:Z322"/>
    <mergeCell ref="AA322:AD322"/>
    <mergeCell ref="AE322:AN322"/>
    <mergeCell ref="A321:J321"/>
    <mergeCell ref="K321:Q321"/>
    <mergeCell ref="R321:Z321"/>
    <mergeCell ref="AA321:AD321"/>
    <mergeCell ref="AE321:AN321"/>
    <mergeCell ref="A330:J330"/>
    <mergeCell ref="K330:Q330"/>
    <mergeCell ref="R330:Z330"/>
    <mergeCell ref="AA330:AD330"/>
    <mergeCell ref="AE330:AN330"/>
    <mergeCell ref="A329:J329"/>
    <mergeCell ref="K329:Q329"/>
    <mergeCell ref="R329:Z329"/>
    <mergeCell ref="AA329:AD329"/>
    <mergeCell ref="AE329:AN329"/>
    <mergeCell ref="A328:J328"/>
    <mergeCell ref="K328:Q328"/>
    <mergeCell ref="R328:Z328"/>
    <mergeCell ref="AA328:AD328"/>
    <mergeCell ref="AE328:AN328"/>
    <mergeCell ref="A327:J327"/>
    <mergeCell ref="K327:Q327"/>
    <mergeCell ref="R327:Z327"/>
    <mergeCell ref="AA327:AD327"/>
    <mergeCell ref="AE327:AN327"/>
    <mergeCell ref="A336:J336"/>
    <mergeCell ref="K336:Q336"/>
    <mergeCell ref="R336:Z336"/>
    <mergeCell ref="AA336:AD336"/>
    <mergeCell ref="AE336:AN336"/>
    <mergeCell ref="A332:AD332"/>
    <mergeCell ref="AE332:AN332"/>
    <mergeCell ref="A335:J335"/>
    <mergeCell ref="K335:Q335"/>
    <mergeCell ref="R335:Z335"/>
    <mergeCell ref="AE339:AN339"/>
    <mergeCell ref="AA335:AD335"/>
    <mergeCell ref="AE335:AN335"/>
    <mergeCell ref="A331:J331"/>
    <mergeCell ref="K331:Q331"/>
    <mergeCell ref="R331:Z331"/>
    <mergeCell ref="AA331:AD331"/>
    <mergeCell ref="AE331:AN331"/>
    <mergeCell ref="Z334:AN334"/>
    <mergeCell ref="A334:Y334"/>
    <mergeCell ref="A337:J337"/>
    <mergeCell ref="K337:Q337"/>
    <mergeCell ref="R337:Z337"/>
    <mergeCell ref="AA337:AD337"/>
    <mergeCell ref="AE337:AN337"/>
    <mergeCell ref="A340:J340"/>
    <mergeCell ref="K340:Q340"/>
    <mergeCell ref="R340:Z340"/>
    <mergeCell ref="AA340:AD340"/>
    <mergeCell ref="AE340:AN340"/>
    <mergeCell ref="M350:V350"/>
    <mergeCell ref="A338:J338"/>
    <mergeCell ref="K338:Q338"/>
    <mergeCell ref="R338:Z338"/>
    <mergeCell ref="AA338:AD338"/>
    <mergeCell ref="AE338:AN338"/>
    <mergeCell ref="A339:J339"/>
    <mergeCell ref="K339:Q339"/>
    <mergeCell ref="R339:Z339"/>
    <mergeCell ref="AA339:AD339"/>
    <mergeCell ref="A348:L348"/>
    <mergeCell ref="A349:L349"/>
    <mergeCell ref="A350:L350"/>
    <mergeCell ref="A351:L351"/>
    <mergeCell ref="A352:L352"/>
    <mergeCell ref="AG350:AP350"/>
    <mergeCell ref="W348:AF348"/>
    <mergeCell ref="AG348:AP348"/>
    <mergeCell ref="M349:V349"/>
    <mergeCell ref="W349:AF349"/>
    <mergeCell ref="A341:AD341"/>
    <mergeCell ref="AE341:AN341"/>
    <mergeCell ref="A345:L345"/>
    <mergeCell ref="A346:L346"/>
    <mergeCell ref="A347:L347"/>
    <mergeCell ref="M345:V345"/>
    <mergeCell ref="W345:AF345"/>
    <mergeCell ref="AG345:AP345"/>
    <mergeCell ref="M346:V346"/>
    <mergeCell ref="W346:AF346"/>
    <mergeCell ref="AG346:AP346"/>
    <mergeCell ref="M347:V347"/>
    <mergeCell ref="W347:AF347"/>
    <mergeCell ref="AG347:AP347"/>
    <mergeCell ref="W352:AF352"/>
    <mergeCell ref="AG352:AP352"/>
    <mergeCell ref="M351:AP351"/>
    <mergeCell ref="M352:V352"/>
    <mergeCell ref="AG349:AP349"/>
    <mergeCell ref="M348:V348"/>
    <mergeCell ref="A343:AN343"/>
    <mergeCell ref="A277:F277"/>
    <mergeCell ref="G277:J277"/>
    <mergeCell ref="K277:R277"/>
    <mergeCell ref="S277:V277"/>
    <mergeCell ref="W277:AD277"/>
    <mergeCell ref="K283:R283"/>
    <mergeCell ref="S283:V283"/>
    <mergeCell ref="W283:AD283"/>
    <mergeCell ref="AE281:AH281"/>
    <mergeCell ref="G281:J281"/>
    <mergeCell ref="K281:R281"/>
    <mergeCell ref="S281:V281"/>
    <mergeCell ref="W281:AD281"/>
    <mergeCell ref="AI281:AP281"/>
    <mergeCell ref="A282:F282"/>
    <mergeCell ref="AI288:AP288"/>
    <mergeCell ref="A287:F287"/>
    <mergeCell ref="S278:V278"/>
    <mergeCell ref="W278:AD278"/>
    <mergeCell ref="S279:V279"/>
    <mergeCell ref="AE278:AH278"/>
    <mergeCell ref="W282:AD282"/>
    <mergeCell ref="AE282:AH282"/>
    <mergeCell ref="AI282:AP282"/>
    <mergeCell ref="A281:F281"/>
    <mergeCell ref="A288:F288"/>
    <mergeCell ref="G288:J288"/>
    <mergeCell ref="K288:R288"/>
    <mergeCell ref="S288:V288"/>
    <mergeCell ref="W288:AD288"/>
    <mergeCell ref="AE288:AH288"/>
    <mergeCell ref="A286:F286"/>
    <mergeCell ref="G286:J286"/>
    <mergeCell ref="K286:R286"/>
    <mergeCell ref="S286:V286"/>
    <mergeCell ref="W286:AD286"/>
    <mergeCell ref="AE286:AH286"/>
    <mergeCell ref="S285:V285"/>
    <mergeCell ref="W285:AD285"/>
    <mergeCell ref="K287:R287"/>
    <mergeCell ref="S287:V287"/>
    <mergeCell ref="W287:AD287"/>
    <mergeCell ref="AI285:AP285"/>
    <mergeCell ref="AE287:AH287"/>
    <mergeCell ref="AI287:AP287"/>
    <mergeCell ref="AE283:AH283"/>
    <mergeCell ref="AI283:AP283"/>
    <mergeCell ref="AI286:AP286"/>
    <mergeCell ref="A285:F285"/>
    <mergeCell ref="G285:J285"/>
    <mergeCell ref="AI284:AP284"/>
    <mergeCell ref="AE285:AH285"/>
    <mergeCell ref="A283:F283"/>
    <mergeCell ref="G283:J283"/>
    <mergeCell ref="K285:R285"/>
    <mergeCell ref="AE289:AH289"/>
    <mergeCell ref="AI289:AP289"/>
    <mergeCell ref="AE277:AH277"/>
    <mergeCell ref="AI277:AP277"/>
    <mergeCell ref="A278:F278"/>
    <mergeCell ref="A284:F284"/>
    <mergeCell ref="G284:J284"/>
    <mergeCell ref="AI278:AP278"/>
    <mergeCell ref="G278:J278"/>
    <mergeCell ref="K278:R278"/>
    <mergeCell ref="U358:X358"/>
    <mergeCell ref="Y358:AD358"/>
    <mergeCell ref="A354:AP354"/>
    <mergeCell ref="AE271:AH271"/>
    <mergeCell ref="AI271:AP271"/>
    <mergeCell ref="A289:F289"/>
    <mergeCell ref="G289:J289"/>
    <mergeCell ref="K289:R289"/>
    <mergeCell ref="S289:V289"/>
    <mergeCell ref="W289:AD289"/>
    <mergeCell ref="AE358:AJ358"/>
    <mergeCell ref="AK360:AP360"/>
    <mergeCell ref="A360:L360"/>
    <mergeCell ref="K284:R284"/>
    <mergeCell ref="S284:V284"/>
    <mergeCell ref="W284:AD284"/>
    <mergeCell ref="AE284:AH284"/>
    <mergeCell ref="AK357:AP357"/>
    <mergeCell ref="A358:L358"/>
    <mergeCell ref="M358:T358"/>
    <mergeCell ref="AE360:AJ360"/>
    <mergeCell ref="A357:L357"/>
    <mergeCell ref="M357:T357"/>
    <mergeCell ref="U357:X357"/>
    <mergeCell ref="AO406:AR406"/>
    <mergeCell ref="AD403:AL403"/>
    <mergeCell ref="AK359:AP359"/>
    <mergeCell ref="Y357:AD357"/>
    <mergeCell ref="AE357:AJ357"/>
    <mergeCell ref="AM406:AN406"/>
    <mergeCell ref="AK364:AP364"/>
    <mergeCell ref="AD406:AL406"/>
    <mergeCell ref="AK358:AP358"/>
    <mergeCell ref="A356:L356"/>
    <mergeCell ref="M356:T356"/>
    <mergeCell ref="U356:X356"/>
    <mergeCell ref="Y356:AD356"/>
    <mergeCell ref="AE356:AJ356"/>
    <mergeCell ref="M360:T360"/>
    <mergeCell ref="U360:X360"/>
    <mergeCell ref="AE359:AJ359"/>
    <mergeCell ref="U364:X364"/>
    <mergeCell ref="Y364:AD364"/>
    <mergeCell ref="AK356:AP356"/>
    <mergeCell ref="AE361:AJ361"/>
    <mergeCell ref="T407:Z407"/>
    <mergeCell ref="AA407:AC407"/>
    <mergeCell ref="AD407:AL407"/>
    <mergeCell ref="AM407:AN407"/>
    <mergeCell ref="AO407:AR407"/>
    <mergeCell ref="M364:T364"/>
    <mergeCell ref="U362:X362"/>
    <mergeCell ref="A359:L359"/>
    <mergeCell ref="M359:T359"/>
    <mergeCell ref="U359:X359"/>
    <mergeCell ref="Y359:AD359"/>
    <mergeCell ref="Y360:AD360"/>
    <mergeCell ref="Y362:AD362"/>
    <mergeCell ref="A364:L364"/>
    <mergeCell ref="M363:T363"/>
    <mergeCell ref="AE364:AJ364"/>
    <mergeCell ref="A363:L363"/>
    <mergeCell ref="AE363:AJ363"/>
    <mergeCell ref="A529:AO529"/>
    <mergeCell ref="A530:AO534"/>
    <mergeCell ref="A441:S441"/>
    <mergeCell ref="A442:S442"/>
    <mergeCell ref="T441:Z441"/>
    <mergeCell ref="T442:Z442"/>
    <mergeCell ref="AE453:AR453"/>
    <mergeCell ref="A536:AO536"/>
    <mergeCell ref="A537:AO537"/>
    <mergeCell ref="A538:AO538"/>
    <mergeCell ref="A539:AO539"/>
    <mergeCell ref="A540:AO540"/>
    <mergeCell ref="A541:AO541"/>
    <mergeCell ref="A542:AO542"/>
    <mergeCell ref="A543:AO543"/>
    <mergeCell ref="A544:AO544"/>
    <mergeCell ref="A443:S443"/>
    <mergeCell ref="T443:Z443"/>
    <mergeCell ref="A461:E461"/>
    <mergeCell ref="A462:E462"/>
    <mergeCell ref="A463:E463"/>
    <mergeCell ref="A460:E460"/>
    <mergeCell ref="G459:AN459"/>
    <mergeCell ref="A449:AD449"/>
    <mergeCell ref="AE449:AR449"/>
    <mergeCell ref="A450:AD450"/>
    <mergeCell ref="A446:AN446"/>
    <mergeCell ref="AE450:AR450"/>
    <mergeCell ref="A438:S438"/>
    <mergeCell ref="T438:Z438"/>
    <mergeCell ref="AA439:AC439"/>
    <mergeCell ref="AM441:AN441"/>
    <mergeCell ref="AD441:AL441"/>
    <mergeCell ref="A455:AN455"/>
    <mergeCell ref="A459:E459"/>
    <mergeCell ref="A471:H471"/>
    <mergeCell ref="A470:H470"/>
    <mergeCell ref="I470:L470"/>
    <mergeCell ref="M470:P470"/>
    <mergeCell ref="G460:AN460"/>
    <mergeCell ref="I471:L471"/>
    <mergeCell ref="M471:P471"/>
    <mergeCell ref="G462:AN462"/>
    <mergeCell ref="A417:S417"/>
    <mergeCell ref="T417:Z417"/>
    <mergeCell ref="A418:S418"/>
    <mergeCell ref="T418:Z418"/>
    <mergeCell ref="A416:S416"/>
    <mergeCell ref="A506:AN506"/>
    <mergeCell ref="A493:AN493"/>
    <mergeCell ref="A431:S431"/>
    <mergeCell ref="T431:Z431"/>
    <mergeCell ref="A432:S432"/>
    <mergeCell ref="A545:AO545"/>
    <mergeCell ref="A546:AO546"/>
    <mergeCell ref="A173:R173"/>
    <mergeCell ref="A174:R174"/>
    <mergeCell ref="A175:R175"/>
    <mergeCell ref="A176:R176"/>
    <mergeCell ref="A177:R177"/>
    <mergeCell ref="A178:R178"/>
    <mergeCell ref="A419:S419"/>
    <mergeCell ref="T419:Z419"/>
    <mergeCell ref="A520:AN520"/>
    <mergeCell ref="A523:AO523"/>
    <mergeCell ref="AO408:AR408"/>
    <mergeCell ref="AA409:AC409"/>
    <mergeCell ref="AD409:AL409"/>
    <mergeCell ref="AM409:AN409"/>
    <mergeCell ref="T416:Z416"/>
    <mergeCell ref="A415:S415"/>
    <mergeCell ref="AA416:AC416"/>
    <mergeCell ref="AA415:AC415"/>
    <mergeCell ref="AK475:AN475"/>
    <mergeCell ref="A476:H476"/>
    <mergeCell ref="S177:U177"/>
    <mergeCell ref="S178:U178"/>
    <mergeCell ref="V178:X178"/>
    <mergeCell ref="Y178:AN178"/>
    <mergeCell ref="AA414:AC414"/>
    <mergeCell ref="AD414:AL414"/>
    <mergeCell ref="A414:S414"/>
    <mergeCell ref="T415:Z415"/>
    <mergeCell ref="AC472:AF472"/>
    <mergeCell ref="A422:S422"/>
    <mergeCell ref="A524:AO527"/>
    <mergeCell ref="A410:S410"/>
    <mergeCell ref="T410:Z410"/>
    <mergeCell ref="A411:S411"/>
    <mergeCell ref="T411:Z411"/>
    <mergeCell ref="AA411:AC411"/>
    <mergeCell ref="AO477:AR477"/>
    <mergeCell ref="AO478:AR478"/>
    <mergeCell ref="AM410:AN410"/>
    <mergeCell ref="AA410:AC410"/>
    <mergeCell ref="A508:AN508"/>
    <mergeCell ref="AO411:AR411"/>
    <mergeCell ref="A412:S412"/>
    <mergeCell ref="AO412:AR412"/>
    <mergeCell ref="AD411:AL411"/>
    <mergeCell ref="AM411:AN411"/>
    <mergeCell ref="Q470:T470"/>
    <mergeCell ref="Y472:AB472"/>
    <mergeCell ref="AM404:AN404"/>
    <mergeCell ref="AO404:AR404"/>
    <mergeCell ref="T408:Z408"/>
    <mergeCell ref="A408:S408"/>
    <mergeCell ref="A406:S406"/>
    <mergeCell ref="T406:Z406"/>
    <mergeCell ref="AA406:AC406"/>
    <mergeCell ref="AM408:AN408"/>
    <mergeCell ref="AO405:AR405"/>
    <mergeCell ref="AO410:AR410"/>
    <mergeCell ref="A404:S404"/>
    <mergeCell ref="AA403:AC403"/>
    <mergeCell ref="A400:AR400"/>
    <mergeCell ref="AM403:AN403"/>
    <mergeCell ref="AO403:AR403"/>
    <mergeCell ref="AA404:AC404"/>
    <mergeCell ref="AD404:AL404"/>
    <mergeCell ref="A402:S402"/>
    <mergeCell ref="T402:Z402"/>
    <mergeCell ref="I379:K379"/>
    <mergeCell ref="M388:AA388"/>
    <mergeCell ref="AD410:AL410"/>
    <mergeCell ref="A401:AR401"/>
    <mergeCell ref="AM402:AN402"/>
    <mergeCell ref="AO402:AR402"/>
    <mergeCell ref="AO409:AR409"/>
    <mergeCell ref="AA405:AC405"/>
    <mergeCell ref="AD405:AL405"/>
    <mergeCell ref="AM405:AN405"/>
    <mergeCell ref="U365:X365"/>
    <mergeCell ref="Y365:AD365"/>
    <mergeCell ref="AE365:AJ365"/>
    <mergeCell ref="AK365:AP365"/>
    <mergeCell ref="A366:L366"/>
    <mergeCell ref="A375:H375"/>
    <mergeCell ref="AE367:AJ367"/>
    <mergeCell ref="U366:X366"/>
    <mergeCell ref="A370:AN370"/>
    <mergeCell ref="Y366:AD366"/>
    <mergeCell ref="AE366:AJ366"/>
    <mergeCell ref="AK366:AP366"/>
    <mergeCell ref="A376:H376"/>
    <mergeCell ref="A377:H377"/>
    <mergeCell ref="A389:F389"/>
    <mergeCell ref="G389:L389"/>
    <mergeCell ref="M389:AA389"/>
    <mergeCell ref="A383:H383"/>
    <mergeCell ref="I381:K381"/>
    <mergeCell ref="I380:K380"/>
    <mergeCell ref="AA402:AC402"/>
    <mergeCell ref="AD402:AL402"/>
    <mergeCell ref="G393:L393"/>
    <mergeCell ref="AH392:AJ392"/>
    <mergeCell ref="AK392:AO392"/>
    <mergeCell ref="G392:L392"/>
    <mergeCell ref="AK476:AN476"/>
    <mergeCell ref="T404:Z404"/>
    <mergeCell ref="AA413:AC413"/>
    <mergeCell ref="AD413:AL413"/>
    <mergeCell ref="AM413:AN413"/>
    <mergeCell ref="AD416:AL416"/>
    <mergeCell ref="AM416:AN416"/>
    <mergeCell ref="U472:X472"/>
    <mergeCell ref="A466:AN466"/>
    <mergeCell ref="T405:Z405"/>
    <mergeCell ref="AC476:AF476"/>
    <mergeCell ref="AG476:AJ476"/>
    <mergeCell ref="AG474:AJ474"/>
    <mergeCell ref="AC475:AF475"/>
    <mergeCell ref="AG475:AJ475"/>
    <mergeCell ref="U475:X475"/>
    <mergeCell ref="Y475:AB475"/>
    <mergeCell ref="AM412:AN412"/>
    <mergeCell ref="A413:S413"/>
    <mergeCell ref="T413:Z413"/>
    <mergeCell ref="AD415:AL415"/>
    <mergeCell ref="AM415:AN415"/>
    <mergeCell ref="T414:Z414"/>
    <mergeCell ref="T412:Z412"/>
    <mergeCell ref="AK471:AN471"/>
    <mergeCell ref="I468:L468"/>
    <mergeCell ref="Y470:AB470"/>
    <mergeCell ref="T422:Z422"/>
    <mergeCell ref="A448:AD448"/>
    <mergeCell ref="AE448:AR448"/>
    <mergeCell ref="Q471:T471"/>
    <mergeCell ref="U471:X471"/>
    <mergeCell ref="G463:AN463"/>
    <mergeCell ref="A465:AN465"/>
    <mergeCell ref="AM417:AN417"/>
    <mergeCell ref="AO417:AR417"/>
    <mergeCell ref="AO415:AR415"/>
    <mergeCell ref="AM418:AN418"/>
    <mergeCell ref="Y471:AB471"/>
    <mergeCell ref="AC471:AF471"/>
    <mergeCell ref="AG471:AJ471"/>
    <mergeCell ref="AK469:AN469"/>
    <mergeCell ref="AC468:AF468"/>
    <mergeCell ref="G461:AN461"/>
    <mergeCell ref="AO474:AR474"/>
    <mergeCell ref="AO475:AR475"/>
    <mergeCell ref="AO413:AR413"/>
    <mergeCell ref="AO472:AR472"/>
    <mergeCell ref="AO418:AR418"/>
    <mergeCell ref="AO470:AR470"/>
    <mergeCell ref="AO471:AR471"/>
    <mergeCell ref="AO469:AR469"/>
    <mergeCell ref="AO419:AR419"/>
    <mergeCell ref="AO434:AR434"/>
    <mergeCell ref="AO476:AR476"/>
    <mergeCell ref="I469:L469"/>
    <mergeCell ref="M468:P468"/>
    <mergeCell ref="Q468:T468"/>
    <mergeCell ref="U468:X468"/>
    <mergeCell ref="Y468:AB468"/>
    <mergeCell ref="AG472:AJ472"/>
    <mergeCell ref="AC474:AF474"/>
    <mergeCell ref="AO473:AR473"/>
    <mergeCell ref="AC470:AF470"/>
    <mergeCell ref="I479:L479"/>
    <mergeCell ref="Q479:T479"/>
    <mergeCell ref="U479:X479"/>
    <mergeCell ref="Y479:AB479"/>
    <mergeCell ref="Q476:T476"/>
    <mergeCell ref="Y476:AB476"/>
    <mergeCell ref="U476:X476"/>
    <mergeCell ref="Q477:T477"/>
    <mergeCell ref="Q478:T478"/>
    <mergeCell ref="U478:X478"/>
    <mergeCell ref="AG473:AJ473"/>
    <mergeCell ref="AK473:AN473"/>
    <mergeCell ref="A474:H474"/>
    <mergeCell ref="I474:L474"/>
    <mergeCell ref="M474:P474"/>
    <mergeCell ref="Q474:T474"/>
    <mergeCell ref="Y474:AB474"/>
    <mergeCell ref="AK474:AN474"/>
    <mergeCell ref="U474:X474"/>
    <mergeCell ref="U473:X473"/>
    <mergeCell ref="M477:P477"/>
    <mergeCell ref="Y478:AB478"/>
    <mergeCell ref="I477:L477"/>
    <mergeCell ref="AA412:AC412"/>
    <mergeCell ref="G391:L391"/>
    <mergeCell ref="M391:AA391"/>
    <mergeCell ref="AA418:AC418"/>
    <mergeCell ref="A407:S407"/>
    <mergeCell ref="M393:AA393"/>
    <mergeCell ref="A392:F392"/>
    <mergeCell ref="A193:AO193"/>
    <mergeCell ref="A218:AO218"/>
    <mergeCell ref="I382:K382"/>
    <mergeCell ref="I383:K383"/>
    <mergeCell ref="Y363:AD363"/>
    <mergeCell ref="I375:K375"/>
    <mergeCell ref="A374:K374"/>
    <mergeCell ref="A365:L365"/>
    <mergeCell ref="M365:T365"/>
    <mergeCell ref="Y367:AD367"/>
    <mergeCell ref="AO479:AR479"/>
    <mergeCell ref="A479:H479"/>
    <mergeCell ref="G388:L388"/>
    <mergeCell ref="A388:F388"/>
    <mergeCell ref="Y473:AB473"/>
    <mergeCell ref="AC473:AF473"/>
    <mergeCell ref="AK478:AN478"/>
    <mergeCell ref="Y477:AB477"/>
    <mergeCell ref="AG479:AJ479"/>
    <mergeCell ref="AK479:AN479"/>
    <mergeCell ref="U363:X363"/>
    <mergeCell ref="A367:X367"/>
    <mergeCell ref="AK367:AP367"/>
    <mergeCell ref="AB393:AG393"/>
    <mergeCell ref="I377:K377"/>
    <mergeCell ref="I378:K378"/>
    <mergeCell ref="A378:H378"/>
    <mergeCell ref="A379:H379"/>
    <mergeCell ref="A380:H380"/>
    <mergeCell ref="A381:H381"/>
    <mergeCell ref="AD418:AL418"/>
    <mergeCell ref="AD412:AL412"/>
    <mergeCell ref="U470:X470"/>
    <mergeCell ref="Y469:AB469"/>
    <mergeCell ref="AC469:AF469"/>
    <mergeCell ref="W350:AF350"/>
    <mergeCell ref="AK363:AP363"/>
    <mergeCell ref="AO416:AR416"/>
    <mergeCell ref="AA417:AC417"/>
    <mergeCell ref="AD417:AL417"/>
    <mergeCell ref="I481:P481"/>
    <mergeCell ref="Q481:AI481"/>
    <mergeCell ref="A478:H478"/>
    <mergeCell ref="I478:L478"/>
    <mergeCell ref="M478:P478"/>
    <mergeCell ref="AB391:AG391"/>
    <mergeCell ref="AG469:AJ469"/>
    <mergeCell ref="Q473:T473"/>
    <mergeCell ref="U477:X477"/>
    <mergeCell ref="A477:H477"/>
    <mergeCell ref="AK470:AN470"/>
    <mergeCell ref="M362:T362"/>
    <mergeCell ref="AG478:AJ478"/>
    <mergeCell ref="A469:H469"/>
    <mergeCell ref="M469:P469"/>
    <mergeCell ref="Q469:T469"/>
    <mergeCell ref="M366:T366"/>
    <mergeCell ref="M392:AA392"/>
    <mergeCell ref="AB392:AG392"/>
    <mergeCell ref="A382:H382"/>
    <mergeCell ref="A393:F393"/>
    <mergeCell ref="A391:F391"/>
    <mergeCell ref="A390:F390"/>
    <mergeCell ref="G390:L390"/>
    <mergeCell ref="M390:AA390"/>
    <mergeCell ref="A396:AN396"/>
    <mergeCell ref="AK388:AO388"/>
    <mergeCell ref="AP388:AR388"/>
    <mergeCell ref="A409:S409"/>
    <mergeCell ref="T409:Z409"/>
    <mergeCell ref="AA408:AC408"/>
    <mergeCell ref="AD408:AL408"/>
    <mergeCell ref="A403:S403"/>
    <mergeCell ref="T403:Z403"/>
    <mergeCell ref="A405:S405"/>
    <mergeCell ref="AH393:AJ393"/>
    <mergeCell ref="AP389:AR389"/>
    <mergeCell ref="AH390:AJ390"/>
    <mergeCell ref="AK390:AO390"/>
    <mergeCell ref="AP390:AR390"/>
    <mergeCell ref="AB389:AG389"/>
    <mergeCell ref="AH391:AJ391"/>
    <mergeCell ref="AH389:AJ389"/>
    <mergeCell ref="AK389:AO389"/>
    <mergeCell ref="AB390:AG390"/>
    <mergeCell ref="AE362:AJ362"/>
    <mergeCell ref="AK362:AP362"/>
    <mergeCell ref="A361:L361"/>
    <mergeCell ref="M361:T361"/>
    <mergeCell ref="U361:X361"/>
    <mergeCell ref="Y361:AD361"/>
    <mergeCell ref="A362:L362"/>
    <mergeCell ref="AK361:AP361"/>
    <mergeCell ref="I376:K376"/>
    <mergeCell ref="A394:AJ394"/>
    <mergeCell ref="AK394:AR394"/>
    <mergeCell ref="AP391:AR391"/>
    <mergeCell ref="AP392:AR392"/>
    <mergeCell ref="AK391:AO391"/>
    <mergeCell ref="AK393:AO393"/>
    <mergeCell ref="AP393:AR393"/>
    <mergeCell ref="AH388:AJ388"/>
    <mergeCell ref="AB388:AG388"/>
    <mergeCell ref="A514:J514"/>
    <mergeCell ref="K514:S514"/>
    <mergeCell ref="T514:AA514"/>
    <mergeCell ref="AB514:AN514"/>
    <mergeCell ref="AK477:AN477"/>
    <mergeCell ref="U469:X469"/>
    <mergeCell ref="AC477:AF477"/>
    <mergeCell ref="AG477:AJ477"/>
    <mergeCell ref="AG470:AJ470"/>
    <mergeCell ref="A481:H481"/>
  </mergeCells>
  <phoneticPr fontId="3" type="noConversion"/>
  <conditionalFormatting sqref="AS448:AS449">
    <cfRule type="cellIs" dxfId="18" priority="14" operator="equal">
      <formula>"NO CUMPLE APORTE"</formula>
    </cfRule>
    <cfRule type="cellIs" dxfId="17" priority="15" operator="equal">
      <formula>"CUMPLE APORTE"</formula>
    </cfRule>
    <cfRule type="colorScale" priority="16">
      <colorScale>
        <cfvo type="min"/>
        <cfvo type="percentile" val="50"/>
        <cfvo type="max"/>
        <color rgb="FFF8696B"/>
        <color rgb="FFFFEB84"/>
        <color rgb="FF63BE7B"/>
      </colorScale>
    </cfRule>
  </conditionalFormatting>
  <conditionalFormatting sqref="AS452:AX452">
    <cfRule type="cellIs" dxfId="16" priority="7" stopIfTrue="1" operator="equal">
      <formula>"""MONTO SOLICITADO NO CORRESPONDE LINEA CREAR IND"""</formula>
    </cfRule>
  </conditionalFormatting>
  <conditionalFormatting sqref="AS455">
    <cfRule type="cellIs" dxfId="15" priority="6" stopIfTrue="1" operator="equal">
      <formula>"""MONTO SOLICITADO NO CORRESPONDE LINEA CREAR IND"""</formula>
    </cfRule>
  </conditionalFormatting>
  <conditionalFormatting sqref="AE452:AR452">
    <cfRule type="cellIs" dxfId="14" priority="1" stopIfTrue="1" operator="equal">
      <formula>"MONTO SOLICITADO CORRESPONDE LINEA CREAR IND"</formula>
    </cfRule>
    <cfRule type="cellIs" dxfId="13" priority="5" stopIfTrue="1" operator="equal">
      <formula>"MONTO SOLICITADO NO CORRESPONDE LINEA CREAR IND"</formula>
    </cfRule>
  </conditionalFormatting>
  <conditionalFormatting sqref="AE453:AR453">
    <cfRule type="cellIs" dxfId="12" priority="2" stopIfTrue="1" operator="equal">
      <formula>"MONTO SOLICITADO NO CORRESPONDE LINEA CREAR ASOC"</formula>
    </cfRule>
    <cfRule type="cellIs" dxfId="11" priority="3" stopIfTrue="1" operator="equal">
      <formula>"MONTO SOLICITADO CORRESPONDE LINEA CREAR ASOC"</formula>
    </cfRule>
  </conditionalFormatting>
  <dataValidations count="11">
    <dataValidation type="list" allowBlank="1" showInputMessage="1" showErrorMessage="1" sqref="AC14:AO15">
      <formula1>INDIRECT($T$14)</formula1>
    </dataValidation>
    <dataValidation type="list" allowBlank="1" showInputMessage="1" showErrorMessage="1" sqref="T14:Z15">
      <formula1>DEPARTAMENTOS</formula1>
    </dataValidation>
    <dataValidation type="list" allowBlank="1" showInputMessage="1" showErrorMessage="1" sqref="R21:T21 R23:T23">
      <formula1>$AV$21:$AV$22</formula1>
    </dataValidation>
    <dataValidation type="list" allowBlank="1" showInputMessage="1" showErrorMessage="1" sqref="T10:Z11">
      <formula1>$BN$7:$BN$8</formula1>
    </dataValidation>
    <dataValidation type="list" allowBlank="1" showInputMessage="1" showErrorMessage="1" sqref="AH389:AJ393">
      <formula1>$BM$7:$BM$8</formula1>
    </dataValidation>
    <dataValidation type="list" allowBlank="1" showInputMessage="1" showErrorMessage="1" sqref="AP389:AR393">
      <formula1>"1,2,3,4,5,6,7,8,9,10,11,12"</formula1>
    </dataValidation>
    <dataValidation type="list" allowBlank="1" showInputMessage="1" showErrorMessage="1" sqref="G389:L393">
      <formula1>$BM$22:$BM$26</formula1>
    </dataValidation>
    <dataValidation type="list" allowBlank="1" showInputMessage="1" showErrorMessage="1" sqref="AE451:AR451">
      <formula1>"$50.000.000,$50.700.000,$60.000.000"</formula1>
    </dataValidation>
    <dataValidation type="list" allowBlank="1" showInputMessage="1" showErrorMessage="1" sqref="Z18">
      <formula1>INDIRECT($L18)</formula1>
    </dataValidation>
    <dataValidation type="list" allowBlank="1" showInputMessage="1" showErrorMessage="1" sqref="B18:J19">
      <formula1>TIPO_PN</formula1>
    </dataValidation>
    <dataValidation type="list" allowBlank="1" showInputMessage="1" showErrorMessage="1" sqref="L18:X19">
      <formula1>INDIRECT(B18)</formula1>
    </dataValidation>
  </dataValidations>
  <pageMargins left="0.11811023622047245" right="0.11811023622047245" top="0.15748031496062992" bottom="0.15748031496062992" header="0" footer="0"/>
  <pageSetup scale="53" orientation="portrait" horizontalDpi="4294967295" verticalDpi="429496729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B1:AO74"/>
  <sheetViews>
    <sheetView showGridLines="0" tabSelected="1" topLeftCell="A13" zoomScale="60" zoomScaleNormal="60" workbookViewId="0">
      <selection activeCell="M13" sqref="M13"/>
    </sheetView>
  </sheetViews>
  <sheetFormatPr baseColWidth="10" defaultColWidth="11.5" defaultRowHeight="16.5"/>
  <cols>
    <col min="1" max="1" width="3.5" style="20" customWidth="1"/>
    <col min="2" max="2" width="49" style="20" customWidth="1"/>
    <col min="3" max="3" width="15.5" style="20" customWidth="1"/>
    <col min="4" max="4" width="20.5" style="20" customWidth="1"/>
    <col min="5" max="5" width="23.125" style="20" customWidth="1"/>
    <col min="6" max="6" width="20" style="20" customWidth="1"/>
    <col min="7" max="7" width="35.625" style="20" customWidth="1"/>
    <col min="8" max="8" width="19" style="20" customWidth="1"/>
    <col min="9" max="9" width="10.375" style="20" customWidth="1"/>
    <col min="10" max="10" width="11.5" style="20" hidden="1" customWidth="1"/>
    <col min="11" max="11" width="10" style="20" customWidth="1"/>
    <col min="12" max="12" width="13.625" style="20" customWidth="1"/>
    <col min="13" max="13" width="4.375" style="20" customWidth="1"/>
    <col min="14" max="14" width="20.5" style="20" customWidth="1"/>
    <col min="15" max="15" width="26.5" style="20" customWidth="1"/>
    <col min="16" max="16" width="11.5" style="20"/>
    <col min="17" max="26" width="11.5" style="91"/>
    <col min="27" max="31" width="11.5" style="90"/>
    <col min="32" max="16384" width="11.5" style="20"/>
  </cols>
  <sheetData>
    <row r="1" spans="2:41" s="17" customFormat="1">
      <c r="Q1" s="96"/>
      <c r="R1" s="96"/>
      <c r="S1" s="96"/>
      <c r="T1" s="96"/>
      <c r="U1" s="96"/>
      <c r="V1" s="96"/>
      <c r="W1" s="96"/>
      <c r="X1" s="96"/>
      <c r="Y1" s="96"/>
      <c r="Z1" s="96"/>
      <c r="AA1" s="94"/>
      <c r="AB1" s="94"/>
      <c r="AC1" s="94"/>
      <c r="AD1" s="94"/>
      <c r="AE1" s="94"/>
    </row>
    <row r="2" spans="2:41" s="17" customFormat="1" ht="39" customHeight="1">
      <c r="I2" s="18"/>
      <c r="J2" s="19"/>
      <c r="K2" s="19"/>
      <c r="L2" s="19"/>
      <c r="Q2" s="96"/>
      <c r="R2" s="96"/>
      <c r="S2" s="96"/>
      <c r="T2" s="96"/>
      <c r="U2" s="96"/>
      <c r="V2" s="96"/>
      <c r="W2" s="96"/>
      <c r="X2" s="96"/>
      <c r="Y2" s="96"/>
      <c r="Z2" s="96"/>
      <c r="AA2" s="94"/>
      <c r="AB2" s="94"/>
      <c r="AC2" s="94"/>
      <c r="AD2" s="94"/>
      <c r="AE2" s="94"/>
    </row>
    <row r="3" spans="2:41" ht="44.25" customHeight="1"/>
    <row r="4" spans="2:41" ht="45.75" customHeight="1">
      <c r="B4" s="217" t="s">
        <v>1330</v>
      </c>
      <c r="C4" s="217"/>
      <c r="D4" s="217"/>
      <c r="E4" s="217"/>
      <c r="F4" s="217"/>
      <c r="G4" s="217"/>
      <c r="H4" s="217"/>
      <c r="I4" s="217"/>
      <c r="J4" s="217"/>
      <c r="K4" s="217"/>
      <c r="L4" s="217"/>
      <c r="M4" s="217"/>
      <c r="N4" s="217"/>
      <c r="O4" s="217"/>
      <c r="P4" s="35"/>
      <c r="Q4" s="35"/>
      <c r="R4" s="35"/>
      <c r="S4" s="35"/>
      <c r="T4" s="35"/>
      <c r="U4" s="35"/>
      <c r="V4" s="35"/>
      <c r="W4" s="35"/>
      <c r="X4" s="35"/>
      <c r="Y4" s="35"/>
      <c r="Z4" s="35"/>
      <c r="AA4" s="95"/>
      <c r="AB4" s="95"/>
      <c r="AC4" s="95"/>
      <c r="AD4" s="95"/>
      <c r="AE4" s="95"/>
      <c r="AF4" s="35"/>
      <c r="AG4" s="35"/>
      <c r="AH4" s="35"/>
      <c r="AI4" s="35"/>
      <c r="AJ4" s="35"/>
      <c r="AK4" s="35"/>
      <c r="AL4" s="35"/>
      <c r="AM4" s="35"/>
      <c r="AN4" s="35"/>
      <c r="AO4" s="35"/>
    </row>
    <row r="7" spans="2:41" ht="33.75" customHeight="1">
      <c r="B7" s="463" t="s">
        <v>1198</v>
      </c>
      <c r="C7" s="463"/>
      <c r="D7" s="463"/>
      <c r="E7" s="463"/>
      <c r="F7" s="463"/>
      <c r="G7" s="463"/>
      <c r="H7" s="463"/>
      <c r="I7" s="463"/>
      <c r="J7" s="463"/>
      <c r="K7" s="463"/>
      <c r="L7" s="463"/>
      <c r="M7" s="463"/>
      <c r="N7" s="463"/>
      <c r="O7" s="463"/>
    </row>
    <row r="8" spans="2:41" ht="33.75" customHeight="1">
      <c r="B8" s="33"/>
      <c r="C8" s="33"/>
      <c r="D8" s="33"/>
      <c r="E8" s="33"/>
      <c r="F8" s="33"/>
      <c r="G8" s="33"/>
      <c r="H8" s="33"/>
      <c r="I8" s="33"/>
      <c r="J8" s="33"/>
      <c r="K8" s="33"/>
      <c r="L8" s="33"/>
      <c r="M8" s="33"/>
      <c r="N8" s="33"/>
      <c r="O8" s="33"/>
    </row>
    <row r="9" spans="2:41" ht="33.75" customHeight="1">
      <c r="B9" s="470" t="s">
        <v>1324</v>
      </c>
      <c r="C9" s="470"/>
      <c r="D9" s="470"/>
      <c r="E9" s="470"/>
      <c r="F9" s="470"/>
      <c r="G9" s="470"/>
      <c r="H9" s="470"/>
      <c r="I9" s="470"/>
      <c r="J9" s="470"/>
      <c r="K9" s="470"/>
      <c r="L9" s="470"/>
      <c r="M9" s="470"/>
      <c r="N9" s="470"/>
      <c r="O9" s="470"/>
    </row>
    <row r="10" spans="2:41" ht="409.5" customHeight="1">
      <c r="B10" s="469" t="s">
        <v>1323</v>
      </c>
      <c r="C10" s="469"/>
      <c r="D10" s="469"/>
      <c r="E10" s="469"/>
      <c r="F10" s="469"/>
      <c r="G10" s="469"/>
      <c r="H10" s="469"/>
      <c r="I10" s="469"/>
      <c r="J10" s="469"/>
      <c r="K10" s="469"/>
      <c r="L10" s="33"/>
      <c r="M10" s="33"/>
      <c r="N10" s="33"/>
      <c r="O10" s="33"/>
    </row>
    <row r="11" spans="2:41" ht="203.25" customHeight="1">
      <c r="B11" s="469"/>
      <c r="C11" s="469"/>
      <c r="D11" s="469"/>
      <c r="E11" s="469"/>
      <c r="F11" s="469"/>
      <c r="G11" s="469"/>
      <c r="H11" s="469"/>
      <c r="I11" s="469"/>
      <c r="J11" s="469"/>
      <c r="K11" s="469"/>
      <c r="L11" s="33"/>
      <c r="M11" s="33"/>
      <c r="N11" s="33"/>
      <c r="O11" s="33"/>
    </row>
    <row r="12" spans="2:41" ht="257.25" customHeight="1">
      <c r="B12" s="34"/>
      <c r="C12" s="34"/>
      <c r="D12" s="34"/>
      <c r="E12" s="34"/>
      <c r="F12" s="34"/>
      <c r="G12" s="34"/>
      <c r="H12" s="34"/>
      <c r="I12" s="34"/>
      <c r="J12" s="34"/>
      <c r="K12" s="34"/>
      <c r="L12" s="33"/>
      <c r="M12" s="33"/>
      <c r="N12" s="33"/>
      <c r="O12" s="33"/>
    </row>
    <row r="13" spans="2:41" ht="108.75" customHeight="1">
      <c r="B13" s="34"/>
      <c r="C13" s="34"/>
      <c r="D13" s="34"/>
      <c r="E13" s="34"/>
      <c r="F13" s="34"/>
      <c r="G13" s="34"/>
      <c r="H13" s="34"/>
      <c r="I13" s="34"/>
      <c r="J13" s="34"/>
      <c r="K13" s="34"/>
      <c r="L13" s="33"/>
      <c r="M13" s="33"/>
      <c r="N13" s="33"/>
      <c r="O13" s="33"/>
    </row>
    <row r="14" spans="2:41" ht="51" customHeight="1">
      <c r="B14" s="217" t="s">
        <v>1330</v>
      </c>
      <c r="C14" s="217"/>
      <c r="D14" s="217"/>
      <c r="E14" s="217"/>
      <c r="F14" s="217"/>
      <c r="G14" s="217"/>
      <c r="H14" s="217"/>
      <c r="I14" s="217"/>
      <c r="J14" s="217"/>
      <c r="K14" s="217"/>
      <c r="L14" s="217"/>
      <c r="M14" s="217"/>
      <c r="N14" s="217"/>
      <c r="O14" s="217"/>
    </row>
    <row r="15" spans="2:41" ht="72" customHeight="1">
      <c r="B15" s="83" t="s">
        <v>1199</v>
      </c>
      <c r="C15" s="84" t="s">
        <v>1319</v>
      </c>
      <c r="D15" s="83" t="s">
        <v>1320</v>
      </c>
      <c r="E15" s="83" t="s">
        <v>1200</v>
      </c>
      <c r="F15" s="85" t="s">
        <v>1321</v>
      </c>
      <c r="G15" s="83" t="s">
        <v>1322</v>
      </c>
      <c r="H15" s="83" t="s">
        <v>1201</v>
      </c>
      <c r="I15" s="464" t="s">
        <v>1202</v>
      </c>
      <c r="J15" s="465"/>
      <c r="K15" s="466" t="s">
        <v>1203</v>
      </c>
      <c r="L15" s="467"/>
      <c r="M15" s="468"/>
      <c r="N15" s="83" t="s">
        <v>1204</v>
      </c>
      <c r="O15" s="83" t="s">
        <v>1205</v>
      </c>
    </row>
    <row r="16" spans="2:41" ht="69.95" customHeight="1">
      <c r="B16" s="87"/>
      <c r="C16" s="21"/>
      <c r="D16" s="88"/>
      <c r="E16" s="21"/>
      <c r="F16" s="36"/>
      <c r="G16" s="36"/>
      <c r="H16" s="21"/>
      <c r="I16" s="460"/>
      <c r="J16" s="461"/>
      <c r="K16" s="460"/>
      <c r="L16" s="462"/>
      <c r="M16" s="461"/>
      <c r="N16" s="37"/>
      <c r="O16" s="86"/>
      <c r="Q16" s="97" t="s">
        <v>1456</v>
      </c>
      <c r="R16" s="97"/>
      <c r="S16" s="97" t="s">
        <v>1457</v>
      </c>
      <c r="T16" s="97"/>
      <c r="U16" s="97" t="s">
        <v>1458</v>
      </c>
      <c r="V16" s="97"/>
      <c r="W16" s="97" t="s">
        <v>1203</v>
      </c>
    </row>
    <row r="17" spans="2:23" ht="69.95" customHeight="1">
      <c r="B17" s="87"/>
      <c r="C17" s="21"/>
      <c r="D17" s="88"/>
      <c r="E17" s="21"/>
      <c r="F17" s="36"/>
      <c r="G17" s="36"/>
      <c r="H17" s="21"/>
      <c r="I17" s="460"/>
      <c r="J17" s="461"/>
      <c r="K17" s="460"/>
      <c r="L17" s="462"/>
      <c r="M17" s="461"/>
      <c r="N17" s="37"/>
      <c r="O17" s="86"/>
      <c r="Q17" s="92" t="s">
        <v>38</v>
      </c>
      <c r="R17" s="93"/>
      <c r="S17" s="92" t="s">
        <v>1325</v>
      </c>
      <c r="T17" s="93"/>
      <c r="U17" s="92" t="s">
        <v>1317</v>
      </c>
      <c r="V17" s="93"/>
      <c r="W17" s="92" t="s">
        <v>1359</v>
      </c>
    </row>
    <row r="18" spans="2:23" ht="69.95" customHeight="1">
      <c r="B18" s="87"/>
      <c r="C18" s="21"/>
      <c r="D18" s="88"/>
      <c r="E18" s="21"/>
      <c r="F18" s="36"/>
      <c r="G18" s="36"/>
      <c r="H18" s="21"/>
      <c r="I18" s="460"/>
      <c r="J18" s="461"/>
      <c r="K18" s="460"/>
      <c r="L18" s="462"/>
      <c r="M18" s="461"/>
      <c r="N18" s="37"/>
      <c r="O18" s="86"/>
      <c r="Q18" s="92" t="s">
        <v>39</v>
      </c>
      <c r="R18" s="93"/>
      <c r="S18" s="92" t="s">
        <v>1326</v>
      </c>
      <c r="T18" s="93"/>
      <c r="U18" s="92" t="s">
        <v>1318</v>
      </c>
      <c r="V18" s="93"/>
      <c r="W18" s="92" t="s">
        <v>1360</v>
      </c>
    </row>
    <row r="19" spans="2:23" ht="69.95" customHeight="1">
      <c r="B19" s="87"/>
      <c r="C19" s="21"/>
      <c r="D19" s="88"/>
      <c r="E19" s="21"/>
      <c r="F19" s="36"/>
      <c r="G19" s="36"/>
      <c r="H19" s="21"/>
      <c r="I19" s="460"/>
      <c r="J19" s="461"/>
      <c r="K19" s="460"/>
      <c r="L19" s="462"/>
      <c r="M19" s="461"/>
      <c r="N19" s="37"/>
      <c r="O19" s="86"/>
      <c r="Q19" s="92"/>
      <c r="R19" s="93"/>
      <c r="S19" s="92" t="s">
        <v>1327</v>
      </c>
      <c r="T19" s="93"/>
      <c r="U19" s="92" t="s">
        <v>74</v>
      </c>
      <c r="V19" s="93"/>
      <c r="W19" s="92" t="s">
        <v>1361</v>
      </c>
    </row>
    <row r="20" spans="2:23" ht="69.95" customHeight="1">
      <c r="B20" s="87"/>
      <c r="C20" s="21"/>
      <c r="D20" s="88"/>
      <c r="E20" s="21"/>
      <c r="F20" s="36"/>
      <c r="G20" s="36"/>
      <c r="H20" s="21"/>
      <c r="I20" s="460"/>
      <c r="J20" s="461"/>
      <c r="K20" s="460"/>
      <c r="L20" s="462"/>
      <c r="M20" s="461"/>
      <c r="N20" s="37"/>
      <c r="O20" s="86"/>
      <c r="Q20" s="92"/>
      <c r="R20" s="93"/>
      <c r="S20" s="92" t="s">
        <v>1328</v>
      </c>
      <c r="T20" s="93"/>
      <c r="U20" s="93"/>
      <c r="V20" s="93"/>
      <c r="W20" s="92" t="s">
        <v>1362</v>
      </c>
    </row>
    <row r="21" spans="2:23" ht="69.95" customHeight="1">
      <c r="B21" s="87"/>
      <c r="C21" s="21"/>
      <c r="D21" s="88"/>
      <c r="E21" s="21"/>
      <c r="F21" s="36"/>
      <c r="G21" s="36"/>
      <c r="H21" s="21"/>
      <c r="I21" s="460"/>
      <c r="J21" s="461"/>
      <c r="K21" s="460"/>
      <c r="L21" s="462"/>
      <c r="M21" s="461"/>
      <c r="N21" s="37"/>
      <c r="O21" s="86"/>
      <c r="Q21" s="93"/>
      <c r="R21" s="93"/>
      <c r="S21" s="92" t="s">
        <v>1329</v>
      </c>
      <c r="T21" s="93"/>
      <c r="U21" s="93"/>
      <c r="V21" s="93"/>
      <c r="W21" s="92" t="s">
        <v>1363</v>
      </c>
    </row>
    <row r="22" spans="2:23" ht="69.95" customHeight="1">
      <c r="B22" s="87"/>
      <c r="C22" s="21"/>
      <c r="D22" s="88"/>
      <c r="E22" s="21"/>
      <c r="F22" s="36"/>
      <c r="G22" s="36"/>
      <c r="H22" s="21"/>
      <c r="I22" s="460"/>
      <c r="J22" s="461"/>
      <c r="K22" s="460"/>
      <c r="L22" s="462"/>
      <c r="M22" s="461"/>
      <c r="N22" s="37"/>
      <c r="O22" s="86"/>
      <c r="Q22" s="93"/>
      <c r="R22" s="93"/>
      <c r="S22" s="93"/>
      <c r="T22" s="93"/>
      <c r="U22" s="93"/>
      <c r="V22" s="93"/>
      <c r="W22" s="92" t="s">
        <v>1364</v>
      </c>
    </row>
    <row r="23" spans="2:23" ht="69.95" customHeight="1">
      <c r="B23" s="87"/>
      <c r="C23" s="21"/>
      <c r="D23" s="88"/>
      <c r="E23" s="21"/>
      <c r="F23" s="36"/>
      <c r="G23" s="36"/>
      <c r="H23" s="21"/>
      <c r="I23" s="460"/>
      <c r="J23" s="461"/>
      <c r="K23" s="460"/>
      <c r="L23" s="462"/>
      <c r="M23" s="461"/>
      <c r="N23" s="37"/>
      <c r="O23" s="86"/>
      <c r="Q23" s="93"/>
      <c r="R23" s="93"/>
      <c r="S23" s="93"/>
      <c r="T23" s="93"/>
      <c r="U23" s="93"/>
      <c r="V23" s="93"/>
      <c r="W23" s="92" t="s">
        <v>1365</v>
      </c>
    </row>
    <row r="24" spans="2:23" ht="69.95" customHeight="1">
      <c r="B24" s="87"/>
      <c r="C24" s="21"/>
      <c r="D24" s="88"/>
      <c r="E24" s="21"/>
      <c r="F24" s="36"/>
      <c r="G24" s="36"/>
      <c r="H24" s="21"/>
      <c r="I24" s="460"/>
      <c r="J24" s="461"/>
      <c r="K24" s="460"/>
      <c r="L24" s="462"/>
      <c r="M24" s="461"/>
      <c r="N24" s="37"/>
      <c r="O24" s="86"/>
      <c r="Q24" s="93"/>
      <c r="R24" s="93"/>
      <c r="S24" s="93"/>
      <c r="T24" s="93"/>
      <c r="U24" s="93"/>
      <c r="V24" s="93"/>
      <c r="W24" s="92" t="s">
        <v>1366</v>
      </c>
    </row>
    <row r="25" spans="2:23" ht="69.95" customHeight="1">
      <c r="B25" s="87"/>
      <c r="C25" s="21"/>
      <c r="D25" s="88"/>
      <c r="E25" s="21"/>
      <c r="F25" s="36"/>
      <c r="G25" s="36"/>
      <c r="H25" s="21"/>
      <c r="I25" s="460"/>
      <c r="J25" s="461"/>
      <c r="K25" s="460"/>
      <c r="L25" s="462"/>
      <c r="M25" s="461"/>
      <c r="N25" s="37"/>
      <c r="O25" s="86"/>
      <c r="Q25" s="93"/>
      <c r="R25" s="93"/>
      <c r="S25" s="93"/>
      <c r="T25" s="93"/>
      <c r="U25" s="93"/>
      <c r="V25" s="93"/>
      <c r="W25" s="92" t="s">
        <v>1367</v>
      </c>
    </row>
    <row r="26" spans="2:23" ht="69.95" customHeight="1">
      <c r="B26" s="87"/>
      <c r="C26" s="21"/>
      <c r="D26" s="88"/>
      <c r="E26" s="21"/>
      <c r="F26" s="36"/>
      <c r="G26" s="36"/>
      <c r="H26" s="21"/>
      <c r="I26" s="460"/>
      <c r="J26" s="461"/>
      <c r="K26" s="460"/>
      <c r="L26" s="462"/>
      <c r="M26" s="461"/>
      <c r="N26" s="37"/>
      <c r="O26" s="86"/>
      <c r="Q26" s="93"/>
      <c r="R26" s="93"/>
      <c r="S26" s="93"/>
      <c r="T26" s="93"/>
      <c r="U26" s="93"/>
      <c r="V26" s="93"/>
      <c r="W26" s="92" t="s">
        <v>1368</v>
      </c>
    </row>
    <row r="27" spans="2:23" ht="69.95" customHeight="1">
      <c r="B27" s="87"/>
      <c r="C27" s="21"/>
      <c r="D27" s="88"/>
      <c r="E27" s="21"/>
      <c r="F27" s="36"/>
      <c r="G27" s="36"/>
      <c r="H27" s="21"/>
      <c r="I27" s="460"/>
      <c r="J27" s="461"/>
      <c r="K27" s="460"/>
      <c r="L27" s="462"/>
      <c r="M27" s="461"/>
      <c r="N27" s="37"/>
      <c r="O27" s="86"/>
      <c r="Q27" s="93"/>
      <c r="R27" s="93"/>
      <c r="S27" s="93"/>
      <c r="T27" s="93"/>
      <c r="U27" s="93"/>
      <c r="V27" s="93"/>
      <c r="W27" s="92" t="s">
        <v>1369</v>
      </c>
    </row>
    <row r="28" spans="2:23" ht="69.95" customHeight="1">
      <c r="B28" s="87"/>
      <c r="C28" s="21"/>
      <c r="D28" s="88"/>
      <c r="E28" s="21"/>
      <c r="F28" s="36"/>
      <c r="G28" s="36"/>
      <c r="H28" s="21"/>
      <c r="I28" s="460"/>
      <c r="J28" s="461"/>
      <c r="K28" s="460"/>
      <c r="L28" s="462"/>
      <c r="M28" s="461"/>
      <c r="N28" s="37"/>
      <c r="O28" s="86"/>
      <c r="Q28" s="93"/>
      <c r="R28" s="93"/>
      <c r="S28" s="93"/>
      <c r="T28" s="93"/>
      <c r="U28" s="93"/>
      <c r="V28" s="93"/>
      <c r="W28" s="92" t="s">
        <v>1370</v>
      </c>
    </row>
    <row r="29" spans="2:23" ht="69.95" customHeight="1">
      <c r="B29" s="87"/>
      <c r="C29" s="21"/>
      <c r="D29" s="88"/>
      <c r="E29" s="21"/>
      <c r="F29" s="36"/>
      <c r="G29" s="36"/>
      <c r="H29" s="21"/>
      <c r="I29" s="460"/>
      <c r="J29" s="461"/>
      <c r="K29" s="460"/>
      <c r="L29" s="462"/>
      <c r="M29" s="461"/>
      <c r="N29" s="37"/>
      <c r="O29" s="86"/>
      <c r="Q29" s="93"/>
      <c r="R29" s="93"/>
      <c r="S29" s="93"/>
      <c r="T29" s="93"/>
      <c r="U29" s="93"/>
      <c r="V29" s="93"/>
      <c r="W29" s="92" t="s">
        <v>1371</v>
      </c>
    </row>
    <row r="30" spans="2:23" ht="69.95" customHeight="1">
      <c r="B30" s="87"/>
      <c r="C30" s="21"/>
      <c r="D30" s="88"/>
      <c r="E30" s="21"/>
      <c r="F30" s="36"/>
      <c r="G30" s="36"/>
      <c r="H30" s="21"/>
      <c r="I30" s="460"/>
      <c r="J30" s="461"/>
      <c r="K30" s="460"/>
      <c r="L30" s="462"/>
      <c r="M30" s="461"/>
      <c r="N30" s="37"/>
      <c r="O30" s="86"/>
      <c r="Q30" s="93"/>
      <c r="R30" s="93"/>
      <c r="S30" s="93"/>
      <c r="T30" s="93"/>
      <c r="U30" s="93"/>
      <c r="V30" s="93"/>
      <c r="W30" s="92" t="s">
        <v>1372</v>
      </c>
    </row>
    <row r="31" spans="2:23" ht="69.95" customHeight="1">
      <c r="B31" s="87"/>
      <c r="C31" s="21"/>
      <c r="D31" s="88"/>
      <c r="E31" s="21"/>
      <c r="F31" s="36"/>
      <c r="G31" s="36"/>
      <c r="H31" s="21"/>
      <c r="I31" s="460"/>
      <c r="J31" s="461"/>
      <c r="K31" s="460"/>
      <c r="L31" s="462"/>
      <c r="M31" s="461"/>
      <c r="N31" s="37"/>
      <c r="O31" s="86"/>
      <c r="Q31" s="93"/>
      <c r="R31" s="93"/>
      <c r="S31" s="93"/>
      <c r="T31" s="93"/>
      <c r="U31" s="93"/>
      <c r="V31" s="93"/>
      <c r="W31" s="92" t="s">
        <v>1373</v>
      </c>
    </row>
    <row r="32" spans="2:23" ht="69.95" customHeight="1">
      <c r="B32" s="87"/>
      <c r="C32" s="21"/>
      <c r="D32" s="88"/>
      <c r="E32" s="21"/>
      <c r="F32" s="36"/>
      <c r="G32" s="36"/>
      <c r="H32" s="21"/>
      <c r="I32" s="460"/>
      <c r="J32" s="461"/>
      <c r="K32" s="460"/>
      <c r="L32" s="462"/>
      <c r="M32" s="461"/>
      <c r="N32" s="37"/>
      <c r="O32" s="86"/>
      <c r="Q32" s="93"/>
      <c r="R32" s="93"/>
      <c r="S32" s="93"/>
      <c r="T32" s="93"/>
      <c r="U32" s="93"/>
      <c r="V32" s="93"/>
      <c r="W32" s="92" t="s">
        <v>1374</v>
      </c>
    </row>
    <row r="33" spans="2:23" ht="69.95" customHeight="1">
      <c r="B33" s="87"/>
      <c r="C33" s="21"/>
      <c r="D33" s="88"/>
      <c r="E33" s="21"/>
      <c r="F33" s="36"/>
      <c r="G33" s="36"/>
      <c r="H33" s="21"/>
      <c r="I33" s="460"/>
      <c r="J33" s="461"/>
      <c r="K33" s="460"/>
      <c r="L33" s="462"/>
      <c r="M33" s="461"/>
      <c r="N33" s="37"/>
      <c r="O33" s="86"/>
      <c r="Q33" s="93"/>
      <c r="R33" s="93"/>
      <c r="S33" s="93"/>
      <c r="T33" s="93"/>
      <c r="U33" s="93"/>
      <c r="V33" s="93"/>
      <c r="W33" s="92" t="s">
        <v>1375</v>
      </c>
    </row>
    <row r="34" spans="2:23" ht="69.95" customHeight="1">
      <c r="B34" s="87"/>
      <c r="C34" s="21"/>
      <c r="D34" s="88"/>
      <c r="E34" s="21"/>
      <c r="F34" s="36"/>
      <c r="G34" s="36"/>
      <c r="H34" s="21"/>
      <c r="I34" s="460"/>
      <c r="J34" s="461"/>
      <c r="K34" s="460"/>
      <c r="L34" s="462"/>
      <c r="M34" s="461"/>
      <c r="N34" s="37"/>
      <c r="O34" s="86"/>
      <c r="Q34" s="93"/>
      <c r="R34" s="93"/>
      <c r="S34" s="93"/>
      <c r="T34" s="93"/>
      <c r="U34" s="93"/>
      <c r="V34" s="93"/>
      <c r="W34" s="92" t="s">
        <v>1376</v>
      </c>
    </row>
    <row r="35" spans="2:23" ht="69.95" customHeight="1">
      <c r="B35" s="87"/>
      <c r="C35" s="21"/>
      <c r="D35" s="88"/>
      <c r="E35" s="21"/>
      <c r="F35" s="36"/>
      <c r="G35" s="36"/>
      <c r="H35" s="21"/>
      <c r="I35" s="460"/>
      <c r="J35" s="461"/>
      <c r="K35" s="460"/>
      <c r="L35" s="462"/>
      <c r="M35" s="461"/>
      <c r="N35" s="37"/>
      <c r="O35" s="86"/>
      <c r="Q35" s="93"/>
      <c r="R35" s="93"/>
      <c r="S35" s="93"/>
      <c r="T35" s="93"/>
      <c r="U35" s="93"/>
      <c r="V35" s="93"/>
      <c r="W35" s="92" t="s">
        <v>1377</v>
      </c>
    </row>
    <row r="36" spans="2:23" ht="69.95" customHeight="1">
      <c r="B36" s="87"/>
      <c r="C36" s="21"/>
      <c r="D36" s="88"/>
      <c r="E36" s="21"/>
      <c r="F36" s="36"/>
      <c r="G36" s="36"/>
      <c r="H36" s="21"/>
      <c r="I36" s="460"/>
      <c r="J36" s="461"/>
      <c r="K36" s="460"/>
      <c r="L36" s="462"/>
      <c r="M36" s="461"/>
      <c r="N36" s="37"/>
      <c r="O36" s="86"/>
      <c r="Q36" s="93"/>
      <c r="R36" s="93"/>
      <c r="S36" s="93"/>
      <c r="T36" s="93"/>
      <c r="U36" s="93"/>
      <c r="V36" s="93"/>
      <c r="W36" s="92" t="s">
        <v>1378</v>
      </c>
    </row>
    <row r="37" spans="2:23" ht="69.95" customHeight="1">
      <c r="B37" s="87"/>
      <c r="C37" s="21"/>
      <c r="D37" s="88"/>
      <c r="E37" s="21"/>
      <c r="F37" s="36"/>
      <c r="G37" s="36"/>
      <c r="H37" s="21"/>
      <c r="I37" s="460"/>
      <c r="J37" s="461"/>
      <c r="K37" s="460"/>
      <c r="L37" s="462"/>
      <c r="M37" s="461"/>
      <c r="N37" s="37"/>
      <c r="O37" s="86"/>
      <c r="Q37" s="93"/>
      <c r="R37" s="93"/>
      <c r="S37" s="93"/>
      <c r="T37" s="93"/>
      <c r="U37" s="93"/>
      <c r="V37" s="93"/>
      <c r="W37" s="92" t="s">
        <v>1379</v>
      </c>
    </row>
    <row r="38" spans="2:23" ht="69.95" customHeight="1">
      <c r="B38" s="87"/>
      <c r="C38" s="21"/>
      <c r="D38" s="88"/>
      <c r="E38" s="21"/>
      <c r="F38" s="36"/>
      <c r="G38" s="36"/>
      <c r="H38" s="21"/>
      <c r="I38" s="460"/>
      <c r="J38" s="461"/>
      <c r="K38" s="460"/>
      <c r="L38" s="462"/>
      <c r="M38" s="461"/>
      <c r="N38" s="37"/>
      <c r="O38" s="86"/>
      <c r="Q38" s="93"/>
      <c r="R38" s="93"/>
      <c r="S38" s="93"/>
      <c r="T38" s="93"/>
      <c r="U38" s="93"/>
      <c r="V38" s="93"/>
      <c r="W38" s="92" t="s">
        <v>1380</v>
      </c>
    </row>
    <row r="39" spans="2:23" ht="69.95" customHeight="1">
      <c r="B39" s="87"/>
      <c r="C39" s="21"/>
      <c r="D39" s="88"/>
      <c r="E39" s="21"/>
      <c r="F39" s="36"/>
      <c r="G39" s="36"/>
      <c r="H39" s="21"/>
      <c r="I39" s="460"/>
      <c r="J39" s="461"/>
      <c r="K39" s="460"/>
      <c r="L39" s="462"/>
      <c r="M39" s="461"/>
      <c r="N39" s="37"/>
      <c r="O39" s="86"/>
      <c r="Q39" s="93"/>
      <c r="R39" s="93"/>
      <c r="S39" s="93"/>
      <c r="T39" s="93"/>
      <c r="U39" s="93"/>
      <c r="V39" s="93"/>
      <c r="W39" s="92" t="s">
        <v>1381</v>
      </c>
    </row>
    <row r="40" spans="2:23" ht="69.95" customHeight="1">
      <c r="B40" s="87"/>
      <c r="C40" s="21"/>
      <c r="D40" s="88"/>
      <c r="E40" s="21"/>
      <c r="F40" s="36"/>
      <c r="G40" s="36"/>
      <c r="H40" s="21"/>
      <c r="I40" s="460"/>
      <c r="J40" s="461"/>
      <c r="K40" s="460"/>
      <c r="L40" s="462"/>
      <c r="M40" s="461"/>
      <c r="N40" s="37"/>
      <c r="O40" s="86"/>
      <c r="Q40" s="93"/>
      <c r="R40" s="93"/>
      <c r="S40" s="93"/>
      <c r="T40" s="93"/>
      <c r="U40" s="93"/>
      <c r="V40" s="93"/>
      <c r="W40" s="92" t="s">
        <v>1382</v>
      </c>
    </row>
    <row r="41" spans="2:23" ht="69.95" customHeight="1">
      <c r="B41" s="87"/>
      <c r="C41" s="21"/>
      <c r="D41" s="88"/>
      <c r="E41" s="21"/>
      <c r="F41" s="36"/>
      <c r="G41" s="36"/>
      <c r="H41" s="21"/>
      <c r="I41" s="460"/>
      <c r="J41" s="461"/>
      <c r="K41" s="460"/>
      <c r="L41" s="462"/>
      <c r="M41" s="461"/>
      <c r="N41" s="37"/>
      <c r="O41" s="86"/>
      <c r="Q41" s="93"/>
      <c r="R41" s="93"/>
      <c r="S41" s="93"/>
      <c r="T41" s="93"/>
      <c r="U41" s="93"/>
      <c r="V41" s="93"/>
      <c r="W41" s="92" t="s">
        <v>1383</v>
      </c>
    </row>
    <row r="42" spans="2:23" ht="69.95" customHeight="1">
      <c r="B42" s="87"/>
      <c r="C42" s="21"/>
      <c r="D42" s="88"/>
      <c r="E42" s="21"/>
      <c r="F42" s="36"/>
      <c r="G42" s="36"/>
      <c r="H42" s="21"/>
      <c r="I42" s="460"/>
      <c r="J42" s="461"/>
      <c r="K42" s="460"/>
      <c r="L42" s="462"/>
      <c r="M42" s="461"/>
      <c r="N42" s="37"/>
      <c r="O42" s="86"/>
    </row>
    <row r="43" spans="2:23" ht="69.95" customHeight="1">
      <c r="B43" s="87"/>
      <c r="C43" s="21"/>
      <c r="D43" s="88"/>
      <c r="E43" s="21"/>
      <c r="F43" s="36"/>
      <c r="G43" s="36"/>
      <c r="H43" s="21"/>
      <c r="I43" s="460"/>
      <c r="J43" s="461"/>
      <c r="K43" s="460"/>
      <c r="L43" s="462"/>
      <c r="M43" s="461"/>
      <c r="N43" s="37"/>
      <c r="O43" s="86"/>
    </row>
    <row r="44" spans="2:23" ht="69.95" customHeight="1">
      <c r="B44" s="87"/>
      <c r="C44" s="21"/>
      <c r="D44" s="88"/>
      <c r="E44" s="21"/>
      <c r="F44" s="36"/>
      <c r="G44" s="36"/>
      <c r="H44" s="21"/>
      <c r="I44" s="460"/>
      <c r="J44" s="461"/>
      <c r="K44" s="460"/>
      <c r="L44" s="462"/>
      <c r="M44" s="461"/>
      <c r="N44" s="37"/>
      <c r="O44" s="86"/>
    </row>
    <row r="45" spans="2:23" ht="69.95" customHeight="1">
      <c r="B45" s="87"/>
      <c r="C45" s="21"/>
      <c r="D45" s="88"/>
      <c r="E45" s="21"/>
      <c r="F45" s="36"/>
      <c r="G45" s="36"/>
      <c r="H45" s="21"/>
      <c r="I45" s="460"/>
      <c r="J45" s="461"/>
      <c r="K45" s="460"/>
      <c r="L45" s="462"/>
      <c r="M45" s="461"/>
      <c r="N45" s="37"/>
      <c r="O45" s="86"/>
    </row>
    <row r="46" spans="2:23" ht="69.95" customHeight="1">
      <c r="B46" s="87"/>
      <c r="C46" s="21"/>
      <c r="D46" s="88"/>
      <c r="E46" s="21"/>
      <c r="F46" s="36"/>
      <c r="G46" s="36"/>
      <c r="H46" s="21"/>
      <c r="I46" s="460"/>
      <c r="J46" s="461"/>
      <c r="K46" s="460"/>
      <c r="L46" s="462"/>
      <c r="M46" s="461"/>
      <c r="N46" s="37"/>
      <c r="O46" s="86"/>
    </row>
    <row r="47" spans="2:23" ht="69.95" customHeight="1">
      <c r="B47" s="87"/>
      <c r="C47" s="21"/>
      <c r="D47" s="88"/>
      <c r="E47" s="21"/>
      <c r="F47" s="36"/>
      <c r="G47" s="36"/>
      <c r="H47" s="21"/>
      <c r="I47" s="460"/>
      <c r="J47" s="461"/>
      <c r="K47" s="460"/>
      <c r="L47" s="462"/>
      <c r="M47" s="461"/>
      <c r="N47" s="37"/>
      <c r="O47" s="86"/>
    </row>
    <row r="48" spans="2:23" ht="69.95" customHeight="1">
      <c r="B48" s="87"/>
      <c r="C48" s="21"/>
      <c r="D48" s="88"/>
      <c r="E48" s="21"/>
      <c r="F48" s="36"/>
      <c r="G48" s="36"/>
      <c r="H48" s="21"/>
      <c r="I48" s="460"/>
      <c r="J48" s="461"/>
      <c r="K48" s="460"/>
      <c r="L48" s="462"/>
      <c r="M48" s="461"/>
      <c r="N48" s="37"/>
      <c r="O48" s="86"/>
    </row>
    <row r="49" spans="2:15" ht="69.95" customHeight="1">
      <c r="B49" s="87"/>
      <c r="C49" s="21"/>
      <c r="D49" s="88"/>
      <c r="E49" s="21"/>
      <c r="F49" s="36"/>
      <c r="G49" s="36"/>
      <c r="H49" s="21"/>
      <c r="I49" s="460"/>
      <c r="J49" s="461"/>
      <c r="K49" s="460"/>
      <c r="L49" s="462"/>
      <c r="M49" s="461"/>
      <c r="N49" s="37"/>
      <c r="O49" s="86"/>
    </row>
    <row r="50" spans="2:15" ht="69.95" customHeight="1">
      <c r="B50" s="87"/>
      <c r="C50" s="21"/>
      <c r="D50" s="88"/>
      <c r="E50" s="21"/>
      <c r="F50" s="36"/>
      <c r="G50" s="36"/>
      <c r="H50" s="21"/>
      <c r="I50" s="460"/>
      <c r="J50" s="461"/>
      <c r="K50" s="460"/>
      <c r="L50" s="462"/>
      <c r="M50" s="461"/>
      <c r="N50" s="37"/>
      <c r="O50" s="86"/>
    </row>
    <row r="51" spans="2:15" ht="69.95" customHeight="1">
      <c r="B51" s="87"/>
      <c r="C51" s="21"/>
      <c r="D51" s="88"/>
      <c r="E51" s="21"/>
      <c r="F51" s="36"/>
      <c r="G51" s="36"/>
      <c r="H51" s="21"/>
      <c r="I51" s="460"/>
      <c r="J51" s="461"/>
      <c r="K51" s="460"/>
      <c r="L51" s="462"/>
      <c r="M51" s="461"/>
      <c r="N51" s="37"/>
      <c r="O51" s="86"/>
    </row>
    <row r="52" spans="2:15" ht="69.95" customHeight="1">
      <c r="B52" s="87"/>
      <c r="C52" s="21"/>
      <c r="D52" s="88"/>
      <c r="E52" s="21"/>
      <c r="F52" s="36"/>
      <c r="G52" s="36"/>
      <c r="H52" s="21"/>
      <c r="I52" s="460"/>
      <c r="J52" s="461"/>
      <c r="K52" s="460"/>
      <c r="L52" s="462"/>
      <c r="M52" s="461"/>
      <c r="N52" s="37"/>
      <c r="O52" s="86"/>
    </row>
    <row r="53" spans="2:15" ht="69.95" customHeight="1">
      <c r="B53" s="87"/>
      <c r="C53" s="21"/>
      <c r="D53" s="88"/>
      <c r="E53" s="21"/>
      <c r="F53" s="36"/>
      <c r="G53" s="36"/>
      <c r="H53" s="21"/>
      <c r="I53" s="460"/>
      <c r="J53" s="461"/>
      <c r="K53" s="460"/>
      <c r="L53" s="462"/>
      <c r="M53" s="461"/>
      <c r="N53" s="37"/>
      <c r="O53" s="86"/>
    </row>
    <row r="54" spans="2:15" ht="69.95" customHeight="1">
      <c r="B54" s="87"/>
      <c r="C54" s="21"/>
      <c r="D54" s="88"/>
      <c r="E54" s="21"/>
      <c r="F54" s="36"/>
      <c r="G54" s="36"/>
      <c r="H54" s="21"/>
      <c r="I54" s="460"/>
      <c r="J54" s="461"/>
      <c r="K54" s="460"/>
      <c r="L54" s="462"/>
      <c r="M54" s="461"/>
      <c r="N54" s="37"/>
      <c r="O54" s="86"/>
    </row>
    <row r="55" spans="2:15" ht="69.95" customHeight="1">
      <c r="B55" s="87"/>
      <c r="C55" s="21"/>
      <c r="D55" s="88"/>
      <c r="E55" s="21"/>
      <c r="F55" s="36"/>
      <c r="G55" s="36"/>
      <c r="H55" s="21"/>
      <c r="I55" s="460"/>
      <c r="J55" s="461"/>
      <c r="K55" s="460"/>
      <c r="L55" s="462"/>
      <c r="M55" s="461"/>
      <c r="N55" s="37"/>
      <c r="O55" s="86"/>
    </row>
    <row r="56" spans="2:15" ht="69.95" customHeight="1">
      <c r="B56" s="87"/>
      <c r="C56" s="21"/>
      <c r="D56" s="88"/>
      <c r="E56" s="21"/>
      <c r="F56" s="36"/>
      <c r="G56" s="36"/>
      <c r="H56" s="21"/>
      <c r="I56" s="460"/>
      <c r="J56" s="461"/>
      <c r="K56" s="460"/>
      <c r="L56" s="462"/>
      <c r="M56" s="461"/>
      <c r="N56" s="37"/>
      <c r="O56" s="86"/>
    </row>
    <row r="57" spans="2:15" ht="69.95" customHeight="1">
      <c r="B57" s="87"/>
      <c r="C57" s="21"/>
      <c r="D57" s="88"/>
      <c r="E57" s="21"/>
      <c r="F57" s="36"/>
      <c r="G57" s="36"/>
      <c r="H57" s="21"/>
      <c r="I57" s="460"/>
      <c r="J57" s="461"/>
      <c r="K57" s="460"/>
      <c r="L57" s="462"/>
      <c r="M57" s="461"/>
      <c r="N57" s="37"/>
      <c r="O57" s="86"/>
    </row>
    <row r="58" spans="2:15" ht="69.95" customHeight="1">
      <c r="B58" s="87"/>
      <c r="C58" s="21"/>
      <c r="D58" s="88"/>
      <c r="E58" s="21"/>
      <c r="F58" s="36"/>
      <c r="G58" s="36"/>
      <c r="H58" s="21"/>
      <c r="I58" s="460"/>
      <c r="J58" s="461"/>
      <c r="K58" s="460"/>
      <c r="L58" s="462"/>
      <c r="M58" s="461"/>
      <c r="N58" s="37"/>
      <c r="O58" s="86"/>
    </row>
    <row r="59" spans="2:15" ht="69.95" customHeight="1">
      <c r="B59" s="87"/>
      <c r="C59" s="21"/>
      <c r="D59" s="88"/>
      <c r="E59" s="21"/>
      <c r="F59" s="36"/>
      <c r="G59" s="36"/>
      <c r="H59" s="21"/>
      <c r="I59" s="460"/>
      <c r="J59" s="461"/>
      <c r="K59" s="460"/>
      <c r="L59" s="462"/>
      <c r="M59" s="461"/>
      <c r="N59" s="37"/>
      <c r="O59" s="86"/>
    </row>
    <row r="60" spans="2:15" ht="69.95" customHeight="1">
      <c r="B60" s="87"/>
      <c r="C60" s="21"/>
      <c r="D60" s="88"/>
      <c r="E60" s="21"/>
      <c r="F60" s="36"/>
      <c r="G60" s="36"/>
      <c r="H60" s="21"/>
      <c r="I60" s="460"/>
      <c r="J60" s="461"/>
      <c r="K60" s="460"/>
      <c r="L60" s="462"/>
      <c r="M60" s="461"/>
      <c r="N60" s="37"/>
      <c r="O60" s="86"/>
    </row>
    <row r="61" spans="2:15" ht="69.95" customHeight="1">
      <c r="B61" s="87"/>
      <c r="C61" s="21"/>
      <c r="D61" s="88"/>
      <c r="E61" s="21"/>
      <c r="F61" s="36"/>
      <c r="G61" s="36"/>
      <c r="H61" s="21"/>
      <c r="I61" s="460"/>
      <c r="J61" s="461"/>
      <c r="K61" s="460"/>
      <c r="L61" s="462"/>
      <c r="M61" s="461"/>
      <c r="N61" s="37"/>
      <c r="O61" s="86"/>
    </row>
    <row r="62" spans="2:15" ht="69.95" customHeight="1">
      <c r="B62" s="87"/>
      <c r="C62" s="21"/>
      <c r="D62" s="88"/>
      <c r="E62" s="21"/>
      <c r="F62" s="36"/>
      <c r="G62" s="36"/>
      <c r="H62" s="21"/>
      <c r="I62" s="460"/>
      <c r="J62" s="461"/>
      <c r="K62" s="460"/>
      <c r="L62" s="462"/>
      <c r="M62" s="461"/>
      <c r="N62" s="37"/>
      <c r="O62" s="86"/>
    </row>
    <row r="63" spans="2:15" ht="69.95" customHeight="1">
      <c r="B63" s="87"/>
      <c r="C63" s="21"/>
      <c r="D63" s="88"/>
      <c r="E63" s="21"/>
      <c r="F63" s="36"/>
      <c r="G63" s="36"/>
      <c r="H63" s="21"/>
      <c r="I63" s="460"/>
      <c r="J63" s="461"/>
      <c r="K63" s="460"/>
      <c r="L63" s="462"/>
      <c r="M63" s="461"/>
      <c r="N63" s="37"/>
      <c r="O63" s="86"/>
    </row>
    <row r="64" spans="2:15" ht="69.95" customHeight="1">
      <c r="B64" s="87"/>
      <c r="C64" s="21"/>
      <c r="D64" s="88"/>
      <c r="E64" s="21"/>
      <c r="F64" s="36"/>
      <c r="G64" s="36"/>
      <c r="H64" s="21"/>
      <c r="I64" s="460"/>
      <c r="J64" s="461"/>
      <c r="K64" s="460"/>
      <c r="L64" s="462"/>
      <c r="M64" s="461"/>
      <c r="N64" s="37"/>
      <c r="O64" s="86"/>
    </row>
    <row r="65" spans="2:15" ht="69.95" customHeight="1">
      <c r="B65" s="87"/>
      <c r="C65" s="21"/>
      <c r="D65" s="88"/>
      <c r="E65" s="21"/>
      <c r="F65" s="36"/>
      <c r="G65" s="36"/>
      <c r="H65" s="21"/>
      <c r="I65" s="460"/>
      <c r="J65" s="461"/>
      <c r="K65" s="460"/>
      <c r="L65" s="462"/>
      <c r="M65" s="461"/>
      <c r="N65" s="37"/>
      <c r="O65" s="86"/>
    </row>
    <row r="66" spans="2:15" ht="69.95" customHeight="1">
      <c r="B66" s="87"/>
      <c r="C66" s="21"/>
      <c r="D66" s="88"/>
      <c r="E66" s="21"/>
      <c r="F66" s="36"/>
      <c r="G66" s="36"/>
      <c r="H66" s="21"/>
      <c r="I66" s="460"/>
      <c r="J66" s="461"/>
      <c r="K66" s="460"/>
      <c r="L66" s="462"/>
      <c r="M66" s="461"/>
      <c r="N66" s="37"/>
      <c r="O66" s="86"/>
    </row>
    <row r="67" spans="2:15" ht="69.95" customHeight="1">
      <c r="B67" s="87"/>
      <c r="C67" s="21"/>
      <c r="D67" s="88"/>
      <c r="E67" s="21"/>
      <c r="F67" s="36"/>
      <c r="G67" s="36"/>
      <c r="H67" s="21"/>
      <c r="I67" s="460"/>
      <c r="J67" s="461"/>
      <c r="K67" s="460"/>
      <c r="L67" s="462"/>
      <c r="M67" s="461"/>
      <c r="N67" s="37"/>
      <c r="O67" s="86"/>
    </row>
    <row r="68" spans="2:15" ht="69.95" customHeight="1">
      <c r="B68" s="87"/>
      <c r="C68" s="21"/>
      <c r="D68" s="88"/>
      <c r="E68" s="21"/>
      <c r="F68" s="36"/>
      <c r="G68" s="36"/>
      <c r="H68" s="21"/>
      <c r="I68" s="460"/>
      <c r="J68" s="461"/>
      <c r="K68" s="460"/>
      <c r="L68" s="462"/>
      <c r="M68" s="461"/>
      <c r="N68" s="37"/>
      <c r="O68" s="86"/>
    </row>
    <row r="69" spans="2:15" ht="69.95" customHeight="1">
      <c r="B69" s="87"/>
      <c r="C69" s="21"/>
      <c r="D69" s="88"/>
      <c r="E69" s="21"/>
      <c r="F69" s="36"/>
      <c r="G69" s="36"/>
      <c r="H69" s="21"/>
      <c r="I69" s="460"/>
      <c r="J69" s="461"/>
      <c r="K69" s="460"/>
      <c r="L69" s="462"/>
      <c r="M69" s="461"/>
      <c r="N69" s="37"/>
      <c r="O69" s="86"/>
    </row>
    <row r="70" spans="2:15" ht="69.95" customHeight="1">
      <c r="B70" s="87"/>
      <c r="C70" s="21"/>
      <c r="D70" s="88"/>
      <c r="E70" s="21"/>
      <c r="F70" s="36"/>
      <c r="G70" s="36"/>
      <c r="H70" s="21"/>
      <c r="I70" s="460"/>
      <c r="J70" s="461"/>
      <c r="K70" s="460"/>
      <c r="L70" s="462"/>
      <c r="M70" s="461"/>
      <c r="N70" s="37"/>
      <c r="O70" s="86"/>
    </row>
    <row r="71" spans="2:15" ht="69.95" customHeight="1">
      <c r="B71" s="87"/>
      <c r="C71" s="21"/>
      <c r="D71" s="88"/>
      <c r="E71" s="21"/>
      <c r="F71" s="36"/>
      <c r="G71" s="36"/>
      <c r="H71" s="21"/>
      <c r="I71" s="460"/>
      <c r="J71" s="461"/>
      <c r="K71" s="460"/>
      <c r="L71" s="462"/>
      <c r="M71" s="461"/>
      <c r="N71" s="37"/>
      <c r="O71" s="86"/>
    </row>
    <row r="72" spans="2:15" ht="69.95" customHeight="1">
      <c r="B72" s="87"/>
      <c r="C72" s="21"/>
      <c r="D72" s="88"/>
      <c r="E72" s="21"/>
      <c r="F72" s="36"/>
      <c r="G72" s="36"/>
      <c r="H72" s="21"/>
      <c r="I72" s="460"/>
      <c r="J72" s="461"/>
      <c r="K72" s="460"/>
      <c r="L72" s="462"/>
      <c r="M72" s="461"/>
      <c r="N72" s="37"/>
      <c r="O72" s="86"/>
    </row>
    <row r="73" spans="2:15" ht="69.95" customHeight="1">
      <c r="B73" s="87"/>
      <c r="C73" s="21"/>
      <c r="D73" s="88"/>
      <c r="E73" s="21"/>
      <c r="F73" s="36"/>
      <c r="G73" s="36"/>
      <c r="H73" s="21"/>
      <c r="I73" s="460"/>
      <c r="J73" s="461"/>
      <c r="K73" s="460"/>
      <c r="L73" s="462"/>
      <c r="M73" s="461"/>
      <c r="N73" s="37"/>
      <c r="O73" s="86"/>
    </row>
    <row r="74" spans="2:15" ht="69.95" customHeight="1">
      <c r="B74" s="87"/>
      <c r="C74" s="21"/>
      <c r="D74" s="88"/>
      <c r="E74" s="21"/>
      <c r="F74" s="36"/>
      <c r="G74" s="36"/>
      <c r="H74" s="21"/>
      <c r="I74" s="460"/>
      <c r="J74" s="461"/>
      <c r="K74" s="460"/>
      <c r="L74" s="462"/>
      <c r="M74" s="461"/>
      <c r="N74" s="37"/>
      <c r="O74" s="86"/>
    </row>
  </sheetData>
  <sheetProtection password="EED1" sheet="1" insertRows="0" deleteRows="0"/>
  <protectedRanges>
    <protectedRange sqref="B16:O74" name="Rango1"/>
  </protectedRanges>
  <mergeCells count="125">
    <mergeCell ref="I68:J68"/>
    <mergeCell ref="I65:J65"/>
    <mergeCell ref="K65:M65"/>
    <mergeCell ref="I66:J66"/>
    <mergeCell ref="K66:M66"/>
    <mergeCell ref="I67:J67"/>
    <mergeCell ref="K67:M67"/>
    <mergeCell ref="I62:J62"/>
    <mergeCell ref="K62:M62"/>
    <mergeCell ref="I64:J64"/>
    <mergeCell ref="K64:M64"/>
    <mergeCell ref="I63:J63"/>
    <mergeCell ref="K63:M63"/>
    <mergeCell ref="I59:J59"/>
    <mergeCell ref="K59:M59"/>
    <mergeCell ref="I61:J61"/>
    <mergeCell ref="K61:M61"/>
    <mergeCell ref="I60:J60"/>
    <mergeCell ref="K60:M60"/>
    <mergeCell ref="I56:J56"/>
    <mergeCell ref="K56:M56"/>
    <mergeCell ref="I58:J58"/>
    <mergeCell ref="K58:M58"/>
    <mergeCell ref="I57:J57"/>
    <mergeCell ref="K57:M57"/>
    <mergeCell ref="I53:J53"/>
    <mergeCell ref="K53:M53"/>
    <mergeCell ref="I55:J55"/>
    <mergeCell ref="K55:M55"/>
    <mergeCell ref="I54:J54"/>
    <mergeCell ref="K54:M54"/>
    <mergeCell ref="I49:J49"/>
    <mergeCell ref="K49:M49"/>
    <mergeCell ref="I50:J50"/>
    <mergeCell ref="K50:M50"/>
    <mergeCell ref="I52:J52"/>
    <mergeCell ref="K52:M52"/>
    <mergeCell ref="I51:J51"/>
    <mergeCell ref="K51:M51"/>
    <mergeCell ref="I36:J36"/>
    <mergeCell ref="I45:J45"/>
    <mergeCell ref="K45:M45"/>
    <mergeCell ref="I46:J46"/>
    <mergeCell ref="K46:M46"/>
    <mergeCell ref="I47:J47"/>
    <mergeCell ref="K47:M47"/>
    <mergeCell ref="K37:M37"/>
    <mergeCell ref="K38:M38"/>
    <mergeCell ref="K36:M36"/>
    <mergeCell ref="I48:J48"/>
    <mergeCell ref="K48:M48"/>
    <mergeCell ref="I30:J30"/>
    <mergeCell ref="K30:M30"/>
    <mergeCell ref="I40:J40"/>
    <mergeCell ref="I41:J41"/>
    <mergeCell ref="K41:M41"/>
    <mergeCell ref="I42:J42"/>
    <mergeCell ref="K42:M42"/>
    <mergeCell ref="I38:J38"/>
    <mergeCell ref="I27:J27"/>
    <mergeCell ref="K27:M27"/>
    <mergeCell ref="I28:J28"/>
    <mergeCell ref="K28:M28"/>
    <mergeCell ref="I29:J29"/>
    <mergeCell ref="K29:M29"/>
    <mergeCell ref="I70:J70"/>
    <mergeCell ref="K70:M70"/>
    <mergeCell ref="I74:J74"/>
    <mergeCell ref="K74:M74"/>
    <mergeCell ref="I71:J71"/>
    <mergeCell ref="K71:M71"/>
    <mergeCell ref="I72:J72"/>
    <mergeCell ref="K72:M72"/>
    <mergeCell ref="I73:J73"/>
    <mergeCell ref="K73:M73"/>
    <mergeCell ref="I69:J69"/>
    <mergeCell ref="K69:M69"/>
    <mergeCell ref="K39:M39"/>
    <mergeCell ref="K40:M40"/>
    <mergeCell ref="K68:M68"/>
    <mergeCell ref="I39:J39"/>
    <mergeCell ref="I43:J43"/>
    <mergeCell ref="K43:M43"/>
    <mergeCell ref="I44:J44"/>
    <mergeCell ref="K44:M44"/>
    <mergeCell ref="I33:J33"/>
    <mergeCell ref="K33:M33"/>
    <mergeCell ref="I34:J34"/>
    <mergeCell ref="K34:M34"/>
    <mergeCell ref="I35:J35"/>
    <mergeCell ref="K35:M35"/>
    <mergeCell ref="I37:J37"/>
    <mergeCell ref="I24:J24"/>
    <mergeCell ref="K24:M24"/>
    <mergeCell ref="I31:J31"/>
    <mergeCell ref="K31:M31"/>
    <mergeCell ref="I32:J32"/>
    <mergeCell ref="K32:M32"/>
    <mergeCell ref="I25:J25"/>
    <mergeCell ref="K25:M25"/>
    <mergeCell ref="I26:J26"/>
    <mergeCell ref="K26:M26"/>
    <mergeCell ref="I21:J21"/>
    <mergeCell ref="K21:M21"/>
    <mergeCell ref="I22:J22"/>
    <mergeCell ref="K22:M22"/>
    <mergeCell ref="I23:J23"/>
    <mergeCell ref="K23:M23"/>
    <mergeCell ref="K16:M16"/>
    <mergeCell ref="B10:K11"/>
    <mergeCell ref="B9:O9"/>
    <mergeCell ref="I19:J19"/>
    <mergeCell ref="K19:M19"/>
    <mergeCell ref="I20:J20"/>
    <mergeCell ref="K20:M20"/>
    <mergeCell ref="B4:O4"/>
    <mergeCell ref="B14:O14"/>
    <mergeCell ref="I17:J17"/>
    <mergeCell ref="K17:M17"/>
    <mergeCell ref="I18:J18"/>
    <mergeCell ref="K18:M18"/>
    <mergeCell ref="B7:O7"/>
    <mergeCell ref="I15:J15"/>
    <mergeCell ref="K15:M15"/>
    <mergeCell ref="I16:J16"/>
  </mergeCells>
  <dataValidations count="4">
    <dataValidation type="list" allowBlank="1" showInputMessage="1" showErrorMessage="1" sqref="C16:C74">
      <formula1>$Q$17:$Q$18</formula1>
    </dataValidation>
    <dataValidation type="list" allowBlank="1" showInputMessage="1" showErrorMessage="1" sqref="G16:G74">
      <formula1>$S$17:$S$21</formula1>
    </dataValidation>
    <dataValidation type="list" allowBlank="1" showInputMessage="1" showErrorMessage="1" sqref="H16:H74">
      <formula1>$U$17:$U$19</formula1>
    </dataValidation>
    <dataValidation type="list" allowBlank="1" showInputMessage="1" showErrorMessage="1" sqref="K16:M74">
      <formula1>$W$17:$W$41</formula1>
    </dataValidation>
  </dataValidations>
  <pageMargins left="0" right="0" top="0.15748031496062992" bottom="0" header="0" footer="0"/>
  <pageSetup scale="45" orientation="landscape" horizontalDpi="4294967295" verticalDpi="429496729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B2:M31"/>
  <sheetViews>
    <sheetView showGridLines="0" workbookViewId="0">
      <selection activeCell="C6" sqref="C6"/>
    </sheetView>
  </sheetViews>
  <sheetFormatPr baseColWidth="10" defaultColWidth="11.5" defaultRowHeight="16.5"/>
  <cols>
    <col min="1" max="1" width="5" style="2" customWidth="1"/>
    <col min="2" max="2" width="41.375" style="2" customWidth="1"/>
    <col min="3" max="3" width="23.125" style="2" customWidth="1"/>
    <col min="4" max="6" width="28.875" style="2" customWidth="1"/>
    <col min="7" max="7" width="17.5" style="2" bestFit="1" customWidth="1"/>
    <col min="8" max="8" width="23.875" style="2" customWidth="1"/>
    <col min="9" max="9" width="17.5" style="2" bestFit="1" customWidth="1"/>
    <col min="10" max="10" width="11.5" style="2"/>
    <col min="11" max="11" width="19.125" style="2" customWidth="1"/>
    <col min="12" max="16384" width="11.5" style="2"/>
  </cols>
  <sheetData>
    <row r="2" spans="2:13" ht="29.25" customHeight="1"/>
    <row r="3" spans="2:13" ht="21" customHeight="1"/>
    <row r="4" spans="2:13" ht="53.25" customHeight="1">
      <c r="B4" s="472"/>
      <c r="C4" s="472"/>
      <c r="D4" s="472"/>
      <c r="E4" s="472"/>
      <c r="F4" s="472"/>
      <c r="G4" s="472"/>
    </row>
    <row r="5" spans="2:13" ht="27" customHeight="1">
      <c r="B5" s="4" t="s">
        <v>147</v>
      </c>
      <c r="C5" s="74">
        <f>+PROYECTO!AE448</f>
        <v>0</v>
      </c>
      <c r="D5" s="3"/>
      <c r="E5" s="3"/>
      <c r="F5" s="3"/>
      <c r="G5" s="3"/>
      <c r="H5" s="101"/>
      <c r="I5" s="101"/>
      <c r="J5" s="101"/>
      <c r="K5" s="101"/>
      <c r="L5" s="101"/>
      <c r="M5" s="101"/>
    </row>
    <row r="6" spans="2:13" ht="27" customHeight="1">
      <c r="B6" s="4" t="s">
        <v>148</v>
      </c>
      <c r="C6" s="74">
        <f>+PROYECTO!AE449</f>
        <v>0</v>
      </c>
      <c r="D6" s="75" t="str">
        <f>+IF((C6&gt;=(C5*0.1)),"CUMPLE","NO CUMPLE")</f>
        <v>CUMPLE</v>
      </c>
      <c r="E6" s="73" t="s">
        <v>129</v>
      </c>
      <c r="F6" s="3"/>
      <c r="G6" s="3"/>
      <c r="H6" s="471"/>
      <c r="I6" s="471"/>
      <c r="J6" s="471"/>
      <c r="K6" s="471"/>
      <c r="L6" s="471"/>
      <c r="M6" s="471"/>
    </row>
    <row r="7" spans="2:13" ht="27" customHeight="1">
      <c r="B7" s="5" t="s">
        <v>149</v>
      </c>
      <c r="C7" s="74">
        <f>+PROYECTO!AE450</f>
        <v>0</v>
      </c>
      <c r="D7" s="3"/>
      <c r="E7" s="3"/>
      <c r="F7" s="3"/>
      <c r="G7" s="3"/>
      <c r="H7" s="471"/>
      <c r="I7" s="471"/>
      <c r="J7" s="471"/>
      <c r="K7" s="471"/>
      <c r="L7" s="471"/>
      <c r="M7" s="471"/>
    </row>
    <row r="8" spans="2:13" ht="27" customHeight="1">
      <c r="B8" s="45" t="s">
        <v>1403</v>
      </c>
      <c r="C8" s="44"/>
      <c r="D8" s="3"/>
      <c r="E8" s="3"/>
      <c r="F8" s="3"/>
      <c r="G8" s="3"/>
    </row>
    <row r="9" spans="2:13" s="90" customFormat="1" ht="15.75" customHeight="1">
      <c r="B9" s="77"/>
      <c r="C9" s="78"/>
      <c r="D9" s="102"/>
      <c r="E9" s="102"/>
      <c r="F9" s="102"/>
      <c r="G9" s="102"/>
    </row>
    <row r="10" spans="2:13" ht="45.75" customHeight="1">
      <c r="B10" s="476" t="s">
        <v>1870</v>
      </c>
      <c r="C10" s="476"/>
      <c r="D10" s="475" t="str">
        <f>+IF(AND(PROYECTO!R21="NO",PROYECTO!AE450&lt;=PROYECTO!AE451,PROYECTO!AE450&gt;0),("MONTO SOLICITADO CORRESPONDE LINEA CREAR IND"),("MONTO SOLICITADO NO CORRESPONDE LINEA CREAR IND"))</f>
        <v>MONTO SOLICITADO NO CORRESPONDE LINEA CREAR IND</v>
      </c>
      <c r="E10" s="475"/>
      <c r="F10" s="3"/>
      <c r="G10" s="3"/>
    </row>
    <row r="11" spans="2:13" ht="36.75" customHeight="1">
      <c r="B11" s="476"/>
      <c r="C11" s="476"/>
      <c r="D11" s="475" t="str">
        <f>+IF(AND(PROYECTO!R21="SI",PROYECTO!AE450&lt;=PROYECTO!AS453),("MONTO SOLICITADO CORRESPONDE LINEA CREAR ASOC"),("MONTO SOLICITADO NO CORRESPONDE LINEA CREAR ASOC"))</f>
        <v>MONTO SOLICITADO NO CORRESPONDE LINEA CREAR ASOC</v>
      </c>
      <c r="E11" s="475"/>
      <c r="F11" s="3"/>
      <c r="G11" s="3"/>
    </row>
    <row r="12" spans="2:13" s="90" customFormat="1" ht="27" customHeight="1">
      <c r="B12" s="98">
        <f>+PROYECTO!R21</f>
        <v>0</v>
      </c>
      <c r="C12" s="78"/>
      <c r="D12" s="102"/>
      <c r="E12" s="102"/>
      <c r="F12" s="102"/>
      <c r="G12" s="102"/>
    </row>
    <row r="13" spans="2:13" ht="28.5" customHeight="1">
      <c r="B13" s="6" t="s">
        <v>150</v>
      </c>
      <c r="C13" s="6"/>
      <c r="D13" s="7" t="s">
        <v>100</v>
      </c>
      <c r="E13" s="7" t="s">
        <v>101</v>
      </c>
      <c r="F13" s="7" t="s">
        <v>102</v>
      </c>
    </row>
    <row r="14" spans="2:13" ht="18.75">
      <c r="B14" s="48" t="s">
        <v>125</v>
      </c>
      <c r="C14" s="8"/>
      <c r="D14" s="46">
        <f>+PROYECTO!K253+PROYECTO!K271+PROYECTO!K289</f>
        <v>0</v>
      </c>
      <c r="E14" s="46">
        <f>+PROYECTO!W253+PROYECTO!W271+PROYECTO!W289</f>
        <v>0</v>
      </c>
      <c r="F14" s="46">
        <f>+PROYECTO!AI253+PROYECTO!AI271+PROYECTO!AI289</f>
        <v>0</v>
      </c>
    </row>
    <row r="15" spans="2:13" ht="18.75">
      <c r="B15" s="48" t="s">
        <v>108</v>
      </c>
      <c r="C15" s="8"/>
      <c r="D15" s="46">
        <f>+(PROYECTO!G253*PROYECTO!AE323)+(PROYECTO!AE332*PROYECTO!G271)+(PROYECTO!G289*PROYECTO!AE341)</f>
        <v>0</v>
      </c>
      <c r="E15" s="46">
        <f>((PROYECTO!S253)*(PROYECTO!AE323*(1+PROYECTO!F224)))+(PROYECTO!S271*(PROYECTO!AE332*(1+PROYECTO!F224)))+(PROYECTO!S289*(PROYECTO!AE341*(1+PROYECTO!F224)))</f>
        <v>0</v>
      </c>
      <c r="F15" s="46">
        <f>+(PROYECTO!AE253*(PROYECTO!AE323*(1+PROYECTO!F224+PROYECTO!I224)))+(PROYECTO!AE271*(PROYECTO!AE332*(1+PROYECTO!F224+PROYECTO!I224)))+(PROYECTO!AE289*(PROYECTO!AE341*(1+PROYECTO!F224+PROYECTO!I224)))</f>
        <v>0</v>
      </c>
    </row>
    <row r="16" spans="2:13" ht="18.75">
      <c r="B16" s="48" t="s">
        <v>1869</v>
      </c>
      <c r="C16" s="8"/>
      <c r="D16" s="46">
        <f>+(PROYECTO!AK389*PROYECTO!AP389)+(PROYECTO!AK390*PROYECTO!AP390)+(PROYECTO!AK391*PROYECTO!AP391)+(PROYECTO!AK392*PROYECTO!AP392)+(PROYECTO!AK393*PROYECTO!AP393)</f>
        <v>0</v>
      </c>
      <c r="E16" s="46">
        <f>+(PROYECTO!AK394*(1+PROYECTO!F224))*12</f>
        <v>0</v>
      </c>
      <c r="F16" s="46">
        <f>+E16*(1+PROYECTO!I224)</f>
        <v>0</v>
      </c>
    </row>
    <row r="17" spans="2:6" ht="18.75">
      <c r="B17" s="48" t="s">
        <v>1401</v>
      </c>
      <c r="C17" s="8"/>
      <c r="D17" s="46">
        <f>+PROYECTO!AE305</f>
        <v>0</v>
      </c>
      <c r="E17" s="46">
        <f>+D17*(1+PROYECTO!F224)</f>
        <v>0</v>
      </c>
      <c r="F17" s="46">
        <f>+(E17*(1+PROYECTO!I224))</f>
        <v>0</v>
      </c>
    </row>
    <row r="18" spans="2:6" ht="18.75">
      <c r="B18" s="48" t="s">
        <v>1405</v>
      </c>
      <c r="C18" s="8"/>
      <c r="D18" s="46">
        <f>+PROYECTO!Z190</f>
        <v>0</v>
      </c>
      <c r="E18" s="46"/>
      <c r="F18" s="46"/>
    </row>
    <row r="19" spans="2:6" ht="18">
      <c r="B19" s="49" t="s">
        <v>151</v>
      </c>
      <c r="C19" s="42"/>
      <c r="D19" s="47">
        <f>+D14-D15-D17-D16-D18</f>
        <v>0</v>
      </c>
      <c r="E19" s="47">
        <f>+E14-E15-E17-E16-E18</f>
        <v>0</v>
      </c>
      <c r="F19" s="47">
        <f>+F14-F15-F17-F16-F18</f>
        <v>0</v>
      </c>
    </row>
    <row r="20" spans="2:6" ht="18.75">
      <c r="B20" s="48" t="s">
        <v>1404</v>
      </c>
      <c r="C20" s="8"/>
      <c r="D20" s="46">
        <f>+PROYECTO!Y367</f>
        <v>0</v>
      </c>
      <c r="E20" s="46">
        <f>+PROYECTO!AE367</f>
        <v>0</v>
      </c>
      <c r="F20" s="46">
        <f>+PROYECTO!AK367</f>
        <v>0</v>
      </c>
    </row>
    <row r="21" spans="2:6" ht="18">
      <c r="B21" s="50" t="s">
        <v>152</v>
      </c>
      <c r="C21" s="43"/>
      <c r="D21" s="47">
        <f>+D19-D20</f>
        <v>0</v>
      </c>
      <c r="E21" s="47">
        <f>+E19-E20</f>
        <v>0</v>
      </c>
      <c r="F21" s="47">
        <f>+F19-F20</f>
        <v>0</v>
      </c>
    </row>
    <row r="22" spans="2:6" ht="18.75">
      <c r="B22" s="48" t="s">
        <v>1460</v>
      </c>
      <c r="C22" s="8"/>
      <c r="D22" s="46">
        <f>+IF($B$12="SI",(D21*0.33),0)</f>
        <v>0</v>
      </c>
      <c r="E22" s="46">
        <f>+IF($B$12="SI",(E21*0.33),0)</f>
        <v>0</v>
      </c>
      <c r="F22" s="46">
        <f>+IF($B$12="SI",(F21*0.33),0)</f>
        <v>0</v>
      </c>
    </row>
    <row r="23" spans="2:6" ht="18">
      <c r="B23" s="50" t="s">
        <v>153</v>
      </c>
      <c r="C23" s="43"/>
      <c r="D23" s="47">
        <f>+D21-D22</f>
        <v>0</v>
      </c>
      <c r="E23" s="47">
        <f>+E21-E22</f>
        <v>0</v>
      </c>
      <c r="F23" s="47">
        <f>+F21-F22</f>
        <v>0</v>
      </c>
    </row>
    <row r="24" spans="2:6" ht="15.75" customHeight="1">
      <c r="B24" s="90"/>
      <c r="D24" s="76"/>
      <c r="E24" s="76"/>
      <c r="F24" s="76"/>
    </row>
    <row r="25" spans="2:6" ht="15.75" customHeight="1">
      <c r="B25" s="90" t="s">
        <v>1469</v>
      </c>
      <c r="D25" s="76"/>
      <c r="E25" s="76"/>
      <c r="F25" s="76"/>
    </row>
    <row r="26" spans="2:6" ht="15.75" customHeight="1">
      <c r="D26" s="76"/>
      <c r="E26" s="76"/>
      <c r="F26" s="76"/>
    </row>
    <row r="27" spans="2:6" ht="18">
      <c r="B27" s="11" t="s">
        <v>154</v>
      </c>
      <c r="C27" s="12"/>
      <c r="D27" s="76"/>
      <c r="E27" s="76"/>
      <c r="F27" s="76"/>
    </row>
    <row r="28" spans="2:6" ht="18">
      <c r="B28" s="51" t="s">
        <v>155</v>
      </c>
      <c r="C28" s="47">
        <f>-'MODELO FINANCIERO'!C5</f>
        <v>0</v>
      </c>
      <c r="D28" s="47">
        <f>+D21</f>
        <v>0</v>
      </c>
      <c r="E28" s="47">
        <f>+E21</f>
        <v>0</v>
      </c>
      <c r="F28" s="47">
        <f>+F21</f>
        <v>0</v>
      </c>
    </row>
    <row r="29" spans="2:6" ht="17.25">
      <c r="B29" s="9"/>
      <c r="C29" s="9"/>
      <c r="D29" s="10"/>
      <c r="E29" s="10"/>
      <c r="F29" s="10"/>
    </row>
    <row r="30" spans="2:6" ht="18">
      <c r="B30" s="11" t="s">
        <v>156</v>
      </c>
      <c r="C30" s="473" t="s">
        <v>1402</v>
      </c>
      <c r="D30" s="473"/>
      <c r="E30" s="89"/>
    </row>
    <row r="31" spans="2:6" ht="25.5" customHeight="1">
      <c r="B31" s="13" t="e">
        <f>+IRR(C28:F28)</f>
        <v>#NUM!</v>
      </c>
      <c r="C31" s="474">
        <f>NPV(C8,C28:F28)</f>
        <v>0</v>
      </c>
      <c r="D31" s="474"/>
    </row>
  </sheetData>
  <sheetProtection password="ED11" sheet="1"/>
  <protectedRanges>
    <protectedRange sqref="C8:C12" name="Rango1"/>
  </protectedRanges>
  <mergeCells count="8">
    <mergeCell ref="H6:M6"/>
    <mergeCell ref="H7:M7"/>
    <mergeCell ref="B4:G4"/>
    <mergeCell ref="C30:D30"/>
    <mergeCell ref="C31:D31"/>
    <mergeCell ref="D10:E10"/>
    <mergeCell ref="D11:E11"/>
    <mergeCell ref="B10:C11"/>
  </mergeCells>
  <conditionalFormatting sqref="B31:C31">
    <cfRule type="cellIs" dxfId="10" priority="11" operator="greaterThanOrEqual">
      <formula>0</formula>
    </cfRule>
    <cfRule type="cellIs" dxfId="9" priority="12" operator="between">
      <formula>-1</formula>
      <formula>0</formula>
    </cfRule>
  </conditionalFormatting>
  <conditionalFormatting sqref="D6">
    <cfRule type="cellIs" dxfId="8" priority="8" operator="equal">
      <formula>"NO CUMPLE"</formula>
    </cfRule>
    <cfRule type="cellIs" dxfId="7" priority="9" operator="equal">
      <formula>"CUMPLE"</formula>
    </cfRule>
    <cfRule type="colorScale" priority="10">
      <colorScale>
        <cfvo type="min"/>
        <cfvo type="percentile" val="50"/>
        <cfvo type="max"/>
        <color rgb="FFF8696B"/>
        <color rgb="FFFFEB84"/>
        <color rgb="FF63BE7B"/>
      </colorScale>
    </cfRule>
  </conditionalFormatting>
  <conditionalFormatting sqref="D10:E10">
    <cfRule type="containsText" dxfId="6" priority="6" operator="containsText" text="MONTO SOLICITADO CORRESPONDE LINEA CREAR IND">
      <formula>NOT(ISERROR(SEARCH("MONTO SOLICITADO CORRESPONDE LINEA CREAR IND",D10)))</formula>
    </cfRule>
    <cfRule type="containsText" dxfId="5" priority="7" operator="containsText" text="MONTO SOLICITADO NO CORRESPONDE LINEA CREAR IND">
      <formula>NOT(ISERROR(SEARCH("MONTO SOLICITADO NO CORRESPONDE LINEA CREAR IND",D10)))</formula>
    </cfRule>
  </conditionalFormatting>
  <conditionalFormatting sqref="D11:E11">
    <cfRule type="cellIs" dxfId="4" priority="2" operator="equal">
      <formula>"MONTO SOLICITADO CORRESPONDE LINEA CREAR ASOC"</formula>
    </cfRule>
    <cfRule type="cellIs" dxfId="3" priority="3" operator="equal">
      <formula>"MONTO SOLICITADO NO CORRESPONDE LINEA CREAR"</formula>
    </cfRule>
    <cfRule type="cellIs" dxfId="2" priority="4" stopIfTrue="1" operator="equal">
      <formula>"MONTO SOLICITADO NO CORRESPONDE LINEA CREAR ASOC"</formula>
    </cfRule>
    <cfRule type="containsText" dxfId="0" priority="5" stopIfTrue="1" operator="containsText" text="MONTO SOLICITADO CORRESPONDE LINEA CREAR ASOC">
      <formula>NOT(ISERROR(SEARCH("MONTO SOLICITADO CORRESPONDE LINEA CREAR ASOC",D11)))</formula>
    </cfRule>
  </conditionalFormatting>
  <conditionalFormatting sqref="H6:M6">
    <cfRule type="cellIs" dxfId="1" priority="1" stopIfTrue="1" operator="equal">
      <formula>"""MONTO SOLICITADO NO CORRESPONDE LINEA CREAR IND"""</formula>
    </cfRule>
  </conditionalFormatting>
  <pageMargins left="0.70866141732283472" right="0.70866141732283472" top="0.74803149606299213" bottom="0.74803149606299213" header="0.31496062992125984" footer="0.31496062992125984"/>
  <pageSetup scale="70" orientation="landscape"/>
  <ignoredErrors>
    <ignoredError sqref="B31" evalError="1"/>
    <ignoredError sqref="D22:F22" formula="1"/>
  </ignoredError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L40"/>
  <sheetViews>
    <sheetView topLeftCell="A28" workbookViewId="0">
      <selection activeCell="F40" sqref="F40"/>
    </sheetView>
  </sheetViews>
  <sheetFormatPr baseColWidth="10" defaultColWidth="10.875" defaultRowHeight="16.5"/>
  <cols>
    <col min="1" max="3" width="10.875" style="1"/>
    <col min="4" max="4" width="24.625" style="1" customWidth="1"/>
    <col min="5" max="5" width="10.875" style="1"/>
    <col min="6" max="6" width="50" style="1" customWidth="1"/>
    <col min="7" max="16384" width="10.875" style="1"/>
  </cols>
  <sheetData>
    <row r="3" spans="2:12">
      <c r="B3" s="1" t="s">
        <v>8</v>
      </c>
      <c r="C3" s="1" t="s">
        <v>38</v>
      </c>
      <c r="D3" s="1" t="s">
        <v>129</v>
      </c>
    </row>
    <row r="4" spans="2:12">
      <c r="B4" s="1" t="s">
        <v>9</v>
      </c>
      <c r="C4" s="1" t="s">
        <v>39</v>
      </c>
      <c r="D4" s="1" t="s">
        <v>130</v>
      </c>
    </row>
    <row r="7" spans="2:12">
      <c r="B7" s="1" t="s">
        <v>1317</v>
      </c>
      <c r="F7" s="38" t="s">
        <v>1359</v>
      </c>
    </row>
    <row r="8" spans="2:12">
      <c r="B8" s="1" t="s">
        <v>1318</v>
      </c>
      <c r="F8" s="38" t="s">
        <v>1360</v>
      </c>
    </row>
    <row r="9" spans="2:12">
      <c r="B9" s="1" t="s">
        <v>74</v>
      </c>
      <c r="F9" s="38" t="s">
        <v>1361</v>
      </c>
    </row>
    <row r="10" spans="2:12">
      <c r="F10" s="38" t="s">
        <v>1362</v>
      </c>
    </row>
    <row r="11" spans="2:12">
      <c r="B11" s="1" t="s">
        <v>1325</v>
      </c>
      <c r="F11" s="38" t="s">
        <v>1363</v>
      </c>
    </row>
    <row r="12" spans="2:12">
      <c r="B12" s="1" t="s">
        <v>1326</v>
      </c>
      <c r="F12" s="38" t="s">
        <v>1364</v>
      </c>
    </row>
    <row r="13" spans="2:12">
      <c r="B13" s="1" t="s">
        <v>1327</v>
      </c>
      <c r="F13" s="38" t="s">
        <v>1365</v>
      </c>
    </row>
    <row r="14" spans="2:12">
      <c r="B14" s="1" t="s">
        <v>1328</v>
      </c>
      <c r="F14" s="38" t="s">
        <v>1366</v>
      </c>
    </row>
    <row r="15" spans="2:12">
      <c r="B15" s="1" t="s">
        <v>1329</v>
      </c>
      <c r="F15" s="38" t="s">
        <v>1367</v>
      </c>
    </row>
    <row r="16" spans="2:12">
      <c r="F16" s="38" t="s">
        <v>1368</v>
      </c>
      <c r="H16" s="1">
        <f>20*(10000*(1+3.3%))</f>
        <v>206600</v>
      </c>
      <c r="J16" s="1">
        <v>30</v>
      </c>
      <c r="K16" s="1">
        <v>10000</v>
      </c>
      <c r="L16" s="1">
        <f>+PROYECTO!F224+PROYECTO!I224</f>
        <v>0</v>
      </c>
    </row>
    <row r="17" spans="2:12">
      <c r="F17" s="38" t="s">
        <v>1369</v>
      </c>
      <c r="H17" s="1">
        <f>10*(20000*(1+3.3%))</f>
        <v>206600</v>
      </c>
      <c r="J17" s="1">
        <v>15</v>
      </c>
      <c r="K17" s="1">
        <v>20000</v>
      </c>
      <c r="L17" s="1">
        <f>+L16</f>
        <v>0</v>
      </c>
    </row>
    <row r="18" spans="2:12">
      <c r="B18" s="1" t="s">
        <v>1357</v>
      </c>
      <c r="F18" s="38" t="s">
        <v>1370</v>
      </c>
      <c r="H18" s="1">
        <f>40*(1000*(1+3.3%))</f>
        <v>41320</v>
      </c>
      <c r="J18" s="1">
        <v>60</v>
      </c>
      <c r="K18" s="1">
        <v>1000</v>
      </c>
      <c r="L18" s="1">
        <f>+L16</f>
        <v>0</v>
      </c>
    </row>
    <row r="19" spans="2:12">
      <c r="B19" s="1" t="s">
        <v>1358</v>
      </c>
      <c r="F19" s="38" t="s">
        <v>1371</v>
      </c>
      <c r="H19" s="1">
        <f>+H16+H17+H18</f>
        <v>454520</v>
      </c>
    </row>
    <row r="20" spans="2:12">
      <c r="B20" s="1" t="s">
        <v>1354</v>
      </c>
      <c r="F20" s="38" t="s">
        <v>1372</v>
      </c>
      <c r="J20" s="1">
        <f>+(J16*(K16*(1+L16)))</f>
        <v>300000</v>
      </c>
    </row>
    <row r="21" spans="2:12">
      <c r="B21" s="1" t="s">
        <v>1356</v>
      </c>
      <c r="F21" s="38" t="s">
        <v>1373</v>
      </c>
      <c r="J21" s="1">
        <f>+(J17*(K17*(1+L17)))</f>
        <v>300000</v>
      </c>
    </row>
    <row r="22" spans="2:12">
      <c r="B22" s="1" t="s">
        <v>1355</v>
      </c>
      <c r="F22" s="38" t="s">
        <v>1374</v>
      </c>
      <c r="J22" s="1">
        <f>+(J18*(K18*(1+L18)))</f>
        <v>60000</v>
      </c>
    </row>
    <row r="23" spans="2:12">
      <c r="F23" s="38" t="s">
        <v>1375</v>
      </c>
      <c r="J23" s="1">
        <f>+J20+J21+J22</f>
        <v>660000</v>
      </c>
    </row>
    <row r="24" spans="2:12">
      <c r="B24" s="1">
        <v>1</v>
      </c>
      <c r="F24" s="38" t="s">
        <v>1376</v>
      </c>
    </row>
    <row r="25" spans="2:12">
      <c r="B25" s="1">
        <v>2</v>
      </c>
      <c r="F25" s="38" t="s">
        <v>1377</v>
      </c>
    </row>
    <row r="26" spans="2:12">
      <c r="B26" s="1">
        <v>3</v>
      </c>
      <c r="F26" s="38" t="s">
        <v>1378</v>
      </c>
      <c r="J26" s="1">
        <f>5*12</f>
        <v>60</v>
      </c>
    </row>
    <row r="27" spans="2:12">
      <c r="B27" s="1">
        <v>4</v>
      </c>
      <c r="F27" s="38" t="s">
        <v>1379</v>
      </c>
      <c r="J27" s="1">
        <f>+J26*(1+3.33%)</f>
        <v>61.998000000000005</v>
      </c>
    </row>
    <row r="28" spans="2:12">
      <c r="B28" s="1">
        <v>5</v>
      </c>
      <c r="F28" s="38" t="s">
        <v>1380</v>
      </c>
    </row>
    <row r="29" spans="2:12">
      <c r="B29" s="1">
        <v>6</v>
      </c>
      <c r="F29" s="38" t="s">
        <v>1381</v>
      </c>
    </row>
    <row r="30" spans="2:12">
      <c r="B30" s="1">
        <v>7</v>
      </c>
      <c r="F30" s="38" t="s">
        <v>1382</v>
      </c>
    </row>
    <row r="31" spans="2:12">
      <c r="B31" s="1">
        <v>8</v>
      </c>
      <c r="F31" s="38" t="s">
        <v>1383</v>
      </c>
    </row>
    <row r="32" spans="2:12">
      <c r="B32" s="1">
        <v>9</v>
      </c>
      <c r="F32" s="38" t="s">
        <v>1384</v>
      </c>
    </row>
    <row r="33" spans="2:6">
      <c r="B33" s="1">
        <v>10</v>
      </c>
    </row>
    <row r="34" spans="2:6">
      <c r="B34" s="1">
        <v>11</v>
      </c>
    </row>
    <row r="35" spans="2:6">
      <c r="B35" s="1">
        <v>12</v>
      </c>
    </row>
    <row r="37" spans="2:6">
      <c r="F37" s="104">
        <v>50000000</v>
      </c>
    </row>
    <row r="38" spans="2:6">
      <c r="F38" s="104">
        <v>50700000</v>
      </c>
    </row>
    <row r="39" spans="2:6">
      <c r="F39" s="104">
        <v>59000000</v>
      </c>
    </row>
    <row r="40" spans="2:6">
      <c r="F40" s="104">
        <v>60000000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BBD7343187EAD408C415224275C2FF0" ma:contentTypeVersion="20" ma:contentTypeDescription="Create a new document." ma:contentTypeScope="" ma:versionID="b41a435606488962da3615b6095581c2">
  <xsd:schema xmlns:xsd="http://www.w3.org/2001/XMLSchema" xmlns:xs="http://www.w3.org/2001/XMLSchema" xmlns:p="http://schemas.microsoft.com/office/2006/metadata/properties" xmlns:ns1="http://schemas.microsoft.com/sharepoint/v3" xmlns:ns3="cd8a9af0-fb3e-4109-a503-3dff0a9c34ca" xmlns:ns4="47e4d6a5-0700-4487-9ce8-8406c8e0b0e7" targetNamespace="http://schemas.microsoft.com/office/2006/metadata/properties" ma:root="true" ma:fieldsID="35a1ad6d6296386628df4a7bc993915d" ns1:_="" ns3:_="" ns4:_="">
    <xsd:import namespace="http://schemas.microsoft.com/sharepoint/v3"/>
    <xsd:import namespace="cd8a9af0-fb3e-4109-a503-3dff0a9c34ca"/>
    <xsd:import namespace="47e4d6a5-0700-4487-9ce8-8406c8e0b0e7"/>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LengthInSeconds" minOccurs="0"/>
                <xsd:element ref="ns3:MediaServiceLocation" minOccurs="0"/>
                <xsd:element ref="ns3:_activity" minOccurs="0"/>
                <xsd:element ref="ns3:MediaServiceObjectDetectorVersions" minOccurs="0"/>
                <xsd:element ref="ns1:_ip_UnifiedCompliancePolicyProperties" minOccurs="0"/>
                <xsd:element ref="ns1:_ip_UnifiedCompliancePolicyUIAction"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d8a9af0-fb3e-4109-a503-3dff0a9c34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MediaServiceLocation" ma:index="21" nillable="true" ma:displayName="Location" ma:internalName="MediaServiceLocation" ma:readOnly="true">
      <xsd:simpleType>
        <xsd:restriction base="dms:Text"/>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ystemTags" ma:index="26" nillable="true" ma:displayName="MediaServiceSystemTags" ma:hidden="true" ma:internalName="MediaServiceSystemTags" ma:readOnly="true">
      <xsd:simpleType>
        <xsd:restriction base="dms:Note"/>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7e4d6a5-0700-4487-9ce8-8406c8e0b0e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activity xmlns="cd8a9af0-fb3e-4109-a503-3dff0a9c34ca"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EF96489C-A525-4AF1-8448-7FD2AD3098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d8a9af0-fb3e-4109-a503-3dff0a9c34ca"/>
    <ds:schemaRef ds:uri="47e4d6a5-0700-4487-9ce8-8406c8e0b0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BD213C8-8D4A-4982-974B-3EDC531D06FF}">
  <ds:schemaRefs>
    <ds:schemaRef ds:uri="http://schemas.microsoft.com/sharepoint/v3/contenttype/forms"/>
  </ds:schemaRefs>
</ds:datastoreItem>
</file>

<file path=customXml/itemProps3.xml><?xml version="1.0" encoding="utf-8"?>
<ds:datastoreItem xmlns:ds="http://schemas.openxmlformats.org/officeDocument/2006/customXml" ds:itemID="{BB73BCD9-DF8D-4FC5-A8F4-E232400D3390}">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67</vt:i4>
      </vt:variant>
    </vt:vector>
  </HeadingPairs>
  <TitlesOfParts>
    <vt:vector size="75" baseType="lpstr">
      <vt:lpstr>Dep-Mun</vt:lpstr>
      <vt:lpstr>TIPO PN</vt:lpstr>
      <vt:lpstr>Sectores EC</vt:lpstr>
      <vt:lpstr>Sectores EP</vt:lpstr>
      <vt:lpstr>PROYECTO</vt:lpstr>
      <vt:lpstr>GRUPO ASOCIATIVO</vt:lpstr>
      <vt:lpstr>MODELO FINANCIERO</vt:lpstr>
      <vt:lpstr>Hoja2</vt:lpstr>
      <vt:lpstr>ACTIVIDADES_ARTÍSTICAS_DE_ENTRETENIMIENTO_Y_RECREACIÓN</vt:lpstr>
      <vt:lpstr>ACTIVIDADES_DE_ATENCIÓN_DE_LA_SALUD_HUMANA_Y_DE_ASISTENCIA_SOCIAL</vt:lpstr>
      <vt:lpstr>ACTIVIDADES_DE_SERVICIOS_ADMINISTRATIVOS_Y_DE_APOYO</vt:lpstr>
      <vt:lpstr>ACTIVIDADES_FINANCIERAS_Y_DE_SEGUROS</vt:lpstr>
      <vt:lpstr>ACTIVIDADES_INMOBILIARIAS</vt:lpstr>
      <vt:lpstr>ACTIVIDADES_PROFESIONALES_CIENTÍFICAS_Y_TÉCNICAS</vt:lpstr>
      <vt:lpstr>ADMINISTRACIÓN_PÚBLICA_Y_DEFENSA_PLANES_DE_SEGURIDAD_SOCIAL_DE_AFILIACIÓN_OBLIGATORIA</vt:lpstr>
      <vt:lpstr>AGRICULTURA_GANADERÍA_CAZA_SILVICULTURA_Y_PESCA</vt:lpstr>
      <vt:lpstr>Agroindustria</vt:lpstr>
      <vt:lpstr>Agropecuario</vt:lpstr>
      <vt:lpstr>ALOJAMIENTO_Y_SERVICIOS_DE_COMIDA</vt:lpstr>
      <vt:lpstr>Amazonas</vt:lpstr>
      <vt:lpstr>Antioquia</vt:lpstr>
      <vt:lpstr>Arauca</vt:lpstr>
      <vt:lpstr>Archipiélago_De_San_Andrés</vt:lpstr>
      <vt:lpstr>PROYECTO!Área_de_impresión</vt:lpstr>
      <vt:lpstr>'Sectores EC'!Artesanías</vt:lpstr>
      <vt:lpstr>Artesanías</vt:lpstr>
      <vt:lpstr>Atlántico</vt:lpstr>
      <vt:lpstr>Bogotá_D.C.</vt:lpstr>
      <vt:lpstr>Bolívar</vt:lpstr>
      <vt:lpstr>Boyacá</vt:lpstr>
      <vt:lpstr>Caldas</vt:lpstr>
      <vt:lpstr>Caquetá</vt:lpstr>
      <vt:lpstr>Casanare</vt:lpstr>
      <vt:lpstr>Cauca</vt:lpstr>
      <vt:lpstr>Cesar</vt:lpstr>
      <vt:lpstr>Chocó</vt:lpstr>
      <vt:lpstr>COMERCIO_AL_POR_MAYOR_Y_AL_POR_MENOR_REPARACIÓN_DE_VEHÍCULOS_AUTOMOTORES_Y_MOTOCICLETAS</vt:lpstr>
      <vt:lpstr>COMERCIO_EC</vt:lpstr>
      <vt:lpstr>CONSTRUCCIÓN</vt:lpstr>
      <vt:lpstr>Córdoba</vt:lpstr>
      <vt:lpstr>Cundinamarca</vt:lpstr>
      <vt:lpstr>DEPARTAMENTOS</vt:lpstr>
      <vt:lpstr>DISTRIBUCIÓN_DE_AGUA_EVACUACIÓN_Y_TRATAMIENTO_DE_AGUAS_RESIDUALES_GESTIÓN_DE_DESECHOS_Y_ACTIVIDADES_DE_SANEAMIENTO_AMBIENTAL</vt:lpstr>
      <vt:lpstr>ECONOMÍA_CAMPESINA</vt:lpstr>
      <vt:lpstr>ECONOMÍA_POPULAR</vt:lpstr>
      <vt:lpstr>EDUCACIÓN</vt:lpstr>
      <vt:lpstr>EXPLOTACIÓN_DE_MINAS_Y_CANTERAS</vt:lpstr>
      <vt:lpstr>Guainía</vt:lpstr>
      <vt:lpstr>Guaviare</vt:lpstr>
      <vt:lpstr>Huila</vt:lpstr>
      <vt:lpstr>INDUSTRIAS_MANUFACTURERAS</vt:lpstr>
      <vt:lpstr>INFORMACIÓN_Y_COMUNICACIONES</vt:lpstr>
      <vt:lpstr>La_Guajira</vt:lpstr>
      <vt:lpstr>Magdalena</vt:lpstr>
      <vt:lpstr>Medio_Ambiente</vt:lpstr>
      <vt:lpstr>Meta</vt:lpstr>
      <vt:lpstr>Nariño</vt:lpstr>
      <vt:lpstr>Norte_De_Santander</vt:lpstr>
      <vt:lpstr>OTRAS_ACTIVIDADES_DE_SERVICIOS</vt:lpstr>
      <vt:lpstr>Putumayo</vt:lpstr>
      <vt:lpstr>Quindío</vt:lpstr>
      <vt:lpstr>Risaralda</vt:lpstr>
      <vt:lpstr>Santander</vt:lpstr>
      <vt:lpstr>'Sectores EC'!SECTORES</vt:lpstr>
      <vt:lpstr>SECTORES</vt:lpstr>
      <vt:lpstr>Sucre</vt:lpstr>
      <vt:lpstr>SUMINISTRO_DE_ELECTRICIDAD_GAS_VAPOR_Y_AIRE_ACONDICIONADO</vt:lpstr>
      <vt:lpstr>TIPO_PN</vt:lpstr>
      <vt:lpstr>'GRUPO ASOCIATIVO'!Títulos_a_imprimir</vt:lpstr>
      <vt:lpstr>Tolima</vt:lpstr>
      <vt:lpstr>TRANSPORTE_Y_ALMACENAMIENTO</vt:lpstr>
      <vt:lpstr>Turismo</vt:lpstr>
      <vt:lpstr>Valle_Del_Cauca</vt:lpstr>
      <vt:lpstr>Vaupés</vt:lpstr>
      <vt:lpstr>Vichada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Dimelza Del Rosario Rodriguez</dc:creator>
  <cp:lastModifiedBy>jorge velez</cp:lastModifiedBy>
  <cp:lastPrinted>2025-04-03T16:41:14Z</cp:lastPrinted>
  <dcterms:created xsi:type="dcterms:W3CDTF">2024-05-21T15:09:17Z</dcterms:created>
  <dcterms:modified xsi:type="dcterms:W3CDTF">2026-06-15T19:08:08Z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0x010100ABBD7343187EAD408C415224275C2FF0</vt:lpwstr>
  </property>
</Properties>
</file>